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Downloads\"/>
    </mc:Choice>
  </mc:AlternateContent>
  <xr:revisionPtr revIDLastSave="0" documentId="13_ncr:1_{BAC8177A-3FC1-4781-9475-C79CACB30612}" xr6:coauthVersionLast="47" xr6:coauthVersionMax="47" xr10:uidLastSave="{00000000-0000-0000-0000-000000000000}"/>
  <workbookProtection workbookAlgorithmName="SHA-512" workbookHashValue="B1nXc+ttNphgS6+OefeGkGwXzi+3ZBUGnZ1+a9dMBSz2RQFjn+nk+gQNwgwiKQOgfbluNslYHhQkZkH+QrBWfA==" workbookSaltValue="TPzjv+Da8272A2E0l0gzsQ==" workbookSpinCount="100000" lockStructure="1"/>
  <bookViews>
    <workbookView xWindow="-108" yWindow="-108" windowWidth="23256" windowHeight="12456" activeTab="1" xr2:uid="{5C666647-60C4-4C14-A5E1-8900F85EBB7F}"/>
  </bookViews>
  <sheets>
    <sheet name="DP1.0" sheetId="15" r:id="rId1"/>
    <sheet name="DP1.1" sheetId="14" r:id="rId2"/>
    <sheet name="DP1.2" sheetId="13" r:id="rId3"/>
    <sheet name="DP2.0" sheetId="11" r:id="rId4"/>
    <sheet name="DP2.1" sheetId="10" r:id="rId5"/>
    <sheet name="FP" sheetId="9" r:id="rId6"/>
    <sheet name="Document" sheetId="1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5" l="1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4" i="15"/>
  <c r="F13" i="15"/>
  <c r="F12" i="15"/>
  <c r="F11" i="15"/>
  <c r="F10" i="15"/>
  <c r="F9" i="15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3" i="10"/>
  <c r="F12" i="10"/>
  <c r="F11" i="10"/>
  <c r="F10" i="10"/>
  <c r="F9" i="10"/>
  <c r="F8" i="10"/>
  <c r="F7" i="10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F15" i="15" s="1"/>
  <c r="H14" i="15"/>
  <c r="H13" i="15"/>
  <c r="H12" i="15"/>
  <c r="H11" i="15"/>
  <c r="H10" i="15"/>
  <c r="H9" i="15"/>
  <c r="H8" i="15"/>
  <c r="F8" i="15" s="1"/>
  <c r="H7" i="15"/>
  <c r="F7" i="15" s="1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F11" i="14" s="1"/>
  <c r="H10" i="14"/>
  <c r="F10" i="14" s="1"/>
  <c r="H9" i="14"/>
  <c r="F9" i="14" s="1"/>
  <c r="H8" i="14"/>
  <c r="F8" i="14" s="1"/>
  <c r="H7" i="14"/>
  <c r="F7" i="14" s="1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80" i="13" s="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F14" i="10" s="1"/>
  <c r="H13" i="10"/>
  <c r="H12" i="10"/>
  <c r="H11" i="10"/>
  <c r="H10" i="10"/>
  <c r="H9" i="10"/>
  <c r="H8" i="10"/>
  <c r="H7" i="10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10" i="9"/>
  <c r="F9" i="9"/>
  <c r="F8" i="9"/>
  <c r="H80" i="15" l="1"/>
  <c r="H80" i="14"/>
  <c r="B6" i="12"/>
  <c r="B1" i="12" l="1"/>
  <c r="B2" i="12"/>
  <c r="B3" i="12" s="1"/>
  <c r="B5" i="12" s="1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F19" i="9" s="1"/>
  <c r="H18" i="9"/>
  <c r="H17" i="9"/>
  <c r="H16" i="9"/>
  <c r="H15" i="9"/>
  <c r="H14" i="9"/>
  <c r="H13" i="9"/>
  <c r="H12" i="9"/>
  <c r="H11" i="9"/>
  <c r="H10" i="9"/>
  <c r="H9" i="9"/>
  <c r="H8" i="9"/>
  <c r="H7" i="9"/>
  <c r="F7" i="9" s="1"/>
  <c r="A1" i="15" l="1"/>
  <c r="A1" i="14"/>
  <c r="A1" i="13"/>
  <c r="A1" i="9"/>
  <c r="A1" i="10"/>
  <c r="A1" i="11"/>
  <c r="B4" i="12"/>
  <c r="H80" i="11"/>
  <c r="H80" i="10"/>
  <c r="H80" i="9"/>
</calcChain>
</file>

<file path=xl/sharedStrings.xml><?xml version="1.0" encoding="utf-8"?>
<sst xmlns="http://schemas.openxmlformats.org/spreadsheetml/2006/main" count="107" uniqueCount="34">
  <si>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</si>
  <si>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</si>
  <si>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</si>
  <si>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</si>
  <si>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</si>
  <si>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</si>
  <si>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</si>
  <si>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</si>
  <si>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</si>
  <si>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</si>
  <si>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</si>
  <si>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</si>
  <si>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</si>
  <si>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</si>
  <si>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Filename</t>
  </si>
  <si>
    <t>Semester</t>
  </si>
  <si>
    <t>Year</t>
  </si>
  <si>
    <t>Start Date</t>
  </si>
  <si>
    <t>End Date</t>
  </si>
  <si>
    <t>Course Number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</si>
  <si>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</si>
  <si>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</si>
  <si>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</si>
  <si>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</si>
  <si>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</si>
  <si>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</si>
  <si>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t>G08</t>
  </si>
  <si>
    <t>Started working on outline boxes for the design report and summary report, continuing from the group</t>
  </si>
  <si>
    <t>Started implementing Conditional sum adder</t>
  </si>
  <si>
    <t>Started working on summary section</t>
  </si>
  <si>
    <t xml:space="preserve">Started working on various sections of the report </t>
  </si>
  <si>
    <t>Started working on cost analysis, reading handbooks</t>
  </si>
  <si>
    <t xml:space="preserve">Started working on table for cost analysis </t>
  </si>
  <si>
    <t>Laxmi Unnithan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</si>
</sst>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/mmm/yy;@"/>
    <numFmt numFmtId="165" formatCode="0000"/>
    <numFmt numFmtId="166" formatCode="00000\-0000"/>
    <numFmt numFmtId="167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22" fontId="0" fillId="4" borderId="1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/>
      <protection hidden="1"/>
    </xf>
    <xf numFmtId="167" fontId="0" fillId="0" borderId="0" xfId="0" applyNumberFormat="1" applyAlignment="1" applyProtection="1">
      <alignment horizontal="left" vertical="center"/>
      <protection hidden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 applyProtection="1">
      <alignment horizontal="center" vertical="center"/>
      <protection locked="0"/>
    </xf>
    <xf numFmtId="166" fontId="3" fillId="4" borderId="10" xfId="0" applyNumberFormat="1" applyFont="1" applyFill="1" applyBorder="1" applyAlignment="1" applyProtection="1">
      <alignment horizontal="center" vertical="center"/>
      <protection locked="0"/>
    </xf>
    <xf numFmtId="166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ADA-044D-43C5-ADD2-C9E3A2C787ED}">
  <dimension ref="A1:I783"/>
  <sheetViews>
    <sheetView topLeftCell="D1" zoomScale="85" zoomScaleNormal="85" workbookViewId="0">
      <selection activeCell="G8" sqref="G8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20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61">
        <v>0.25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3115</v>
      </c>
      <c r="C7" s="18">
        <v>46306</v>
      </c>
      <c r="D7" s="19">
        <v>0.83333333333333337</v>
      </c>
      <c r="E7" s="20">
        <v>0.91666666666666663</v>
      </c>
      <c r="F7" s="40" t="str">
        <f>IF(AND(NOT(ISBLANK($D7)),NOT(ISBLANK($E7)),OR($H7&lt;0,$H7&gt;2)),"ERROR","")</f>
        <v/>
      </c>
      <c r="G7" s="15" t="s">
        <v>27</v>
      </c>
      <c r="H7" s="11">
        <f>IF(E7&gt;=D7, E7-D7, 1-D7+E7)*24</f>
        <v>1.9999999999999982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1.9999999999999982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5oblFyCqCfWw6HdUfnu1fYRf3+i9sXiromkPNg0o3dlhJ0rm1NQhjJvWN9GePGVyl2SwZYcrttGNE4Fo9YkTmw==" saltValue="pycGmkvNNeTAYgm7bjTIA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23" priority="1" operator="containsText" text="ERROR">
      <formula>NOT(ISERROR(SEARCH("ERROR",F7)))</formula>
    </cfRule>
  </conditionalFormatting>
  <conditionalFormatting sqref="G7:G79">
    <cfRule type="containsText" dxfId="22" priority="4" operator="containsText" text="worked">
      <formula>NOT(ISERROR(SEARCH("worked",G7)))</formula>
    </cfRule>
  </conditionalFormatting>
  <conditionalFormatting sqref="H7:H79">
    <cfRule type="cellIs" dxfId="21" priority="2" operator="greaterThan">
      <formula>2</formula>
    </cfRule>
    <cfRule type="cellIs" dxfId="20" priority="3" operator="lessThan">
      <formula>0</formula>
    </cfRule>
  </conditionalFormatting>
  <dataValidations count="3">
    <dataValidation type="whole" operator="lessThan" allowBlank="1" showInputMessage="1" showErrorMessage="1" sqref="B3:D3" xr:uid="{4617EFEF-53D0-471D-9872-FF88BE6C8B88}">
      <formula1>999999999</formula1>
    </dataValidation>
    <dataValidation type="time" operator="lessThan" allowBlank="1" showInputMessage="1" showErrorMessage="1" sqref="D7:E79" xr:uid="{E6B4C7D4-C624-4A1E-942D-DDB012B88F7F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CCA53D97-9D97-4C55-8D61-F3E5D27ED4C5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91A64A1-0044-437C-B5D6-907F2EA1120B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C82-0C8C-469C-9368-447D766B3689}">
  <dimension ref="A1:I783"/>
  <sheetViews>
    <sheetView tabSelected="1" zoomScale="85" zoomScaleNormal="85" workbookViewId="0">
      <selection activeCell="B3" sqref="B3:D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 t="s">
        <v>33</v>
      </c>
      <c r="C2" s="47"/>
      <c r="D2" s="48"/>
      <c r="E2" s="49" t="s">
        <v>21</v>
      </c>
      <c r="F2" s="50"/>
      <c r="G2" s="50"/>
    </row>
    <row r="3" spans="1:9" ht="24.9" customHeight="1" x14ac:dyDescent="0.3">
      <c r="A3" s="33" t="s">
        <v>5</v>
      </c>
      <c r="B3" s="55">
        <v>301393115</v>
      </c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61">
        <v>0.25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3115</v>
      </c>
      <c r="C7" s="18">
        <v>46319</v>
      </c>
      <c r="D7" s="19">
        <v>0.75</v>
      </c>
      <c r="E7" s="20">
        <v>0.83333333333333337</v>
      </c>
      <c r="F7" s="40" t="str">
        <f>IF(AND(NOT(ISBLANK($D7)),NOT(ISBLANK($E7)),OR($H7&lt;0,$H7&gt;2)),"ERROR","")</f>
        <v/>
      </c>
      <c r="G7" s="15" t="s">
        <v>28</v>
      </c>
      <c r="H7" s="11">
        <f>IF(E7&gt;=D7, E7-D7, 1-D7+E7)*24</f>
        <v>2.0000000000000009</v>
      </c>
      <c r="I7" s="9"/>
    </row>
    <row r="8" spans="1:9" ht="24.9" customHeight="1" x14ac:dyDescent="0.35">
      <c r="A8" s="31"/>
      <c r="B8" s="13">
        <v>3115</v>
      </c>
      <c r="C8" s="21">
        <v>46320</v>
      </c>
      <c r="D8" s="19">
        <v>0.41666666666666669</v>
      </c>
      <c r="E8" s="22">
        <v>0.5</v>
      </c>
      <c r="F8" s="41" t="str">
        <f t="shared" ref="F8:F71" si="0">IF(AND(NOT(ISBLANK($D8)),NOT(ISBLANK($E8)),OR($H8&lt;0,$H8&gt;2)),"ERROR","")</f>
        <v/>
      </c>
      <c r="G8" s="16" t="s">
        <v>29</v>
      </c>
      <c r="H8" s="26">
        <f t="shared" ref="H8:H71" si="1">IF(E8&gt;=D8, E8-D8, 1-D8+E8)*24</f>
        <v>1.9999999999999996</v>
      </c>
    </row>
    <row r="9" spans="1:9" ht="24.9" customHeight="1" x14ac:dyDescent="0.35">
      <c r="A9" s="31"/>
      <c r="B9" s="13">
        <v>3115</v>
      </c>
      <c r="C9" s="21">
        <v>46320</v>
      </c>
      <c r="D9" s="19">
        <v>0.54166666666666663</v>
      </c>
      <c r="E9" s="22">
        <v>0.625</v>
      </c>
      <c r="F9" s="41" t="str">
        <f t="shared" si="0"/>
        <v/>
      </c>
      <c r="G9" s="16" t="s">
        <v>30</v>
      </c>
      <c r="H9" s="26">
        <f t="shared" si="1"/>
        <v>2.0000000000000009</v>
      </c>
    </row>
    <row r="10" spans="1:9" ht="24.9" customHeight="1" x14ac:dyDescent="0.35">
      <c r="A10" s="31"/>
      <c r="B10" s="13">
        <v>3115</v>
      </c>
      <c r="C10" s="21">
        <v>46320</v>
      </c>
      <c r="D10" s="19">
        <v>0.79166666666666663</v>
      </c>
      <c r="E10" s="22">
        <v>0.875</v>
      </c>
      <c r="F10" s="41" t="str">
        <f t="shared" si="0"/>
        <v/>
      </c>
      <c r="G10" s="16" t="s">
        <v>31</v>
      </c>
      <c r="H10" s="26">
        <f t="shared" si="1"/>
        <v>2.0000000000000009</v>
      </c>
    </row>
    <row r="11" spans="1:9" ht="24.9" customHeight="1" x14ac:dyDescent="0.35">
      <c r="A11" s="31"/>
      <c r="B11" s="13">
        <v>3115</v>
      </c>
      <c r="C11" s="21">
        <v>46320</v>
      </c>
      <c r="D11" s="19">
        <v>0.875</v>
      </c>
      <c r="E11" s="22">
        <v>0.95833333333333337</v>
      </c>
      <c r="F11" s="41" t="str">
        <f t="shared" si="0"/>
        <v/>
      </c>
      <c r="G11" s="16" t="s">
        <v>32</v>
      </c>
      <c r="H11" s="26">
        <f t="shared" si="1"/>
        <v>2.0000000000000009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10.000000000000004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twNoYpoykfBlfE2+3FraFEJiis6QO4hpXKof/1PudggsC+0vYH3a+tPzQRwLPdq8RgCVdS3POGVQOZhAY/Lig==" saltValue="rJ0hn+ipEZyg+kj8cbLiM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9" priority="1" operator="containsText" text="ERROR">
      <formula>NOT(ISERROR(SEARCH("ERROR",F7)))</formula>
    </cfRule>
  </conditionalFormatting>
  <conditionalFormatting sqref="G7:G79">
    <cfRule type="containsText" dxfId="18" priority="4" operator="containsText" text="worked">
      <formula>NOT(ISERROR(SEARCH("worked",G7)))</formula>
    </cfRule>
  </conditionalFormatting>
  <conditionalFormatting sqref="H7:H79">
    <cfRule type="cellIs" dxfId="17" priority="2" operator="greaterThan">
      <formula>2</formula>
    </cfRule>
    <cfRule type="cellIs" dxfId="16" priority="3" operator="lessThan">
      <formula>0</formula>
    </cfRule>
  </conditionalFormatting>
  <dataValidations count="3">
    <dataValidation type="time" operator="lessThan" allowBlank="1" showInputMessage="1" showErrorMessage="1" sqref="D7:E79" xr:uid="{7E383381-D535-48BA-B2A6-0912208B86B5}">
      <formula1>0.999988425925926</formula1>
    </dataValidation>
    <dataValidation type="whole" operator="lessThan" allowBlank="1" showInputMessage="1" showErrorMessage="1" sqref="B3:D3" xr:uid="{9656F829-ADF5-4554-A919-01E66FE35813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F8EF5405-31B2-4D29-B4E1-D0A4F9629B80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2330B89-5381-4FF6-B74E-1AF10AC32205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125A-654A-41F3-BE94-87B0EEBE0477}">
  <dimension ref="A1:I783"/>
  <sheetViews>
    <sheetView zoomScaleNormal="100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22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br7UmKBZMl5D9WgR4bqXnluiNn2AXRQfyME06PDeqA04LTvaZJMRFhlsGJyptC3TrKT3sBq61/nHlOolrkkGw==" saltValue="ziGyVas7GB9Lw7oOQCf9KQ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5" priority="1" operator="containsText" text="ERROR">
      <formula>NOT(ISERROR(SEARCH("ERROR",F7)))</formula>
    </cfRule>
  </conditionalFormatting>
  <conditionalFormatting sqref="G7:G79">
    <cfRule type="containsText" dxfId="14" priority="4" operator="containsText" text="worked">
      <formula>NOT(ISERROR(SEARCH("worked",G7)))</formula>
    </cfRule>
  </conditionalFormatting>
  <conditionalFormatting sqref="H7:H79">
    <cfRule type="cellIs" dxfId="13" priority="2" operator="greaterThan">
      <formula>2</formula>
    </cfRule>
    <cfRule type="cellIs" dxfId="12" priority="3" operator="lessThan">
      <formula>0</formula>
    </cfRule>
  </conditionalFormatting>
  <dataValidations count="3">
    <dataValidation type="whole" operator="lessThan" allowBlank="1" showInputMessage="1" showErrorMessage="1" sqref="B3:D3" xr:uid="{8B49B418-8AD7-4F9C-BF33-78D8886C13F6}">
      <formula1>999999999</formula1>
    </dataValidation>
    <dataValidation type="time" operator="lessThan" allowBlank="1" showInputMessage="1" showErrorMessage="1" sqref="D7:E79" xr:uid="{ABBA4E02-737A-4D48-B34B-E3AE7F719865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FD868B13-8268-45C0-ADBC-5DE7DF1C93E4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01D1BB4A-6E9A-44BD-8D2C-BA5FFA67AAF6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23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H2sFmZ7i0nj0blCZp9pRCRpiOfIM0TDOcSre4jjAI/v1Bal85j5oCKgfME33kLxeDZLxa8rwmCrD+9EAnkTWQ==" saltValue="yaq84O7re6Xt4YAKsq48Vw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11" priority="1" operator="containsText" text="ERROR">
      <formula>NOT(ISERROR(SEARCH("ERROR",F7)))</formula>
    </cfRule>
  </conditionalFormatting>
  <conditionalFormatting sqref="G7:G79">
    <cfRule type="containsText" dxfId="10" priority="4" operator="containsText" text="worked">
      <formula>NOT(ISERROR(SEARCH("worked",G7)))</formula>
    </cfRule>
  </conditionalFormatting>
  <conditionalFormatting sqref="H7:H79">
    <cfRule type="cellIs" dxfId="9" priority="2" operator="greaterThan">
      <formula>2</formula>
    </cfRule>
    <cfRule type="cellIs" dxfId="8" priority="3" operator="lessThan">
      <formula>0</formula>
    </cfRule>
  </conditionalFormatting>
  <dataValidations count="3">
    <dataValidation type="time" operator="lessThan" allowBlank="1" showInputMessage="1" showErrorMessage="1" sqref="D7:E79" xr:uid="{33CF4BFE-EF6D-44AF-8068-7B19169006D9}">
      <formula1>0.999988425925926</formula1>
    </dataValidation>
    <dataValidation type="whole" operator="lessThan" allowBlank="1" showInputMessage="1" showErrorMessage="1" sqref="B3:D3" xr:uid="{BA4C4349-0BDF-4359-B98A-5D361321A5C6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66AC76C6-8575-475D-B192-6235E0C95516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50DEBC7-AB74-4EC3-BB96-63E9D871F68E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B4" sqref="B4:D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24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rVGgnoQVpCaqlyIaKiQhfEvuRg21eOJttn5O/pk8qkDvp7+Pdrp8/KskWu//mWBBjM2q+gxXUCQWcDqwZse5IA==" saltValue="Luuy7y//gzP6S21sos9aLQ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7" priority="1" operator="containsText" text="ERROR">
      <formula>NOT(ISERROR(SEARCH("ERROR",F7)))</formula>
    </cfRule>
  </conditionalFormatting>
  <conditionalFormatting sqref="G7:G79">
    <cfRule type="containsText" dxfId="6" priority="4" operator="containsText" text="worked">
      <formula>NOT(ISERROR(SEARCH("worked",G7)))</formula>
    </cfRule>
  </conditionalFormatting>
  <conditionalFormatting sqref="H7:H79">
    <cfRule type="cellIs" dxfId="5" priority="2" operator="greaterThan">
      <formula>2</formula>
    </cfRule>
    <cfRule type="cellIs" dxfId="4" priority="3" operator="lessThan">
      <formula>0</formula>
    </cfRule>
  </conditionalFormatting>
  <dataValidations count="3">
    <dataValidation type="time" operator="lessThan" allowBlank="1" showInputMessage="1" showErrorMessage="1" sqref="D7:E79" xr:uid="{8F0D348F-6AD0-4CA4-BFD7-7723741D146C}">
      <formula1>0.999988425925926</formula1>
    </dataValidation>
    <dataValidation type="whole" operator="lessThan" allowBlank="1" showInputMessage="1" showErrorMessage="1" sqref="B3:D3" xr:uid="{F585A24C-67FF-4B5A-A9AB-C5BECAD13E8E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2DFEAA47-E380-4595-B09E-4D01E9A729BA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xr:uid="{D3FAB56C-F356-4066-8E1E-7DA78997A770}">
          <x14:formula1>
            <xm:f>Document!$B$4</xm:f>
          </x14:formula1>
          <x14:formula2>
            <xm:f>Document!$B$5</xm:f>
          </x14:formula2>
          <xm:sqref>C8:C79</xm:sqref>
        </x14:dataValidation>
        <x14:dataValidation type="date" errorStyle="warning" allowBlank="1" showInputMessage="1" showErrorMessage="1" errorTitle="Date Error" error="Enter the correct date_x000a_" xr:uid="{735DA895-7C29-4920-B0F2-BA2B4C1060EA}">
          <x14:formula1>
            <xm:f>Document!$B$4</xm:f>
          </x14:formula1>
          <x14:formula2>
            <xm:f>Document!$B$5</xm:f>
          </x14:formula2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topLeftCell="C4" zoomScale="85" zoomScaleNormal="85" workbookViewId="0">
      <selection activeCell="G16" sqref="G16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25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8HLx41h8hX1vd8GE/d91yIyu47keKP58SPY12u7sxVwEGRng0MdOmMSy/NXXEV5pYNTYedmkh38Zto+Lz++Xkg==" saltValue="MgHwNLZaDgQFHXDbBZKiHg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3" priority="1" operator="containsText" text="ERROR">
      <formula>NOT(ISERROR(SEARCH("ERROR",F7)))</formula>
    </cfRule>
  </conditionalFormatting>
  <conditionalFormatting sqref="G7:G79">
    <cfRule type="containsText" dxfId="2" priority="5" operator="containsText" text="worked">
      <formula>NOT(ISERROR(SEARCH("worked",G7)))</formula>
    </cfRule>
  </conditionalFormatting>
  <conditionalFormatting sqref="H7:H79">
    <cfRule type="cellIs" dxfId="1" priority="3" operator="greaterThan">
      <formula>2</formula>
    </cfRule>
    <cfRule type="cellIs" dxfId="0" priority="4" operator="lessThan">
      <formula>0</formula>
    </cfRule>
  </conditionalFormatting>
  <dataValidations count="3">
    <dataValidation type="time" operator="lessThan" allowBlank="1" showInputMessage="1" showErrorMessage="1" sqref="D7:E79" xr:uid="{9AE7729D-A22D-4AF1-900D-0B4C09C987CA}">
      <formula1>0.999988425925926</formula1>
    </dataValidation>
    <dataValidation type="whole" operator="lessThan" allowBlank="1" showInputMessage="1" showErrorMessage="1" sqref="B3:D3" xr:uid="{6888241B-6342-4CEB-B18F-207AADFCF947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59C18CD6-1857-4705-A184-4C635F14C4D8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D9F329F8-89BB-469F-8462-10C55BCEAD2A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7986-64CE-4B20-A098-327AA73637C1}">
  <dimension ref="A1:F53"/>
  <sheetViews>
    <sheetView workbookViewId="0">
      <selection activeCell="B8" sqref="B8"/>
    </sheetView>
  </sheetViews>
  <sheetFormatPr defaultRowHeight="14.4" x14ac:dyDescent="0.3"/>
  <cols>
    <col min="1" max="1" width="14.88671875" customWidth="1"/>
    <col min="2" max="2" width="104.109375" customWidth="1"/>
  </cols>
  <sheetData>
    <row r="1" spans="1:6" s="36" customFormat="1" ht="24.9" customHeight="1" x14ac:dyDescent="0.3">
      <c r="A1" s="38" t="s">
        <v>14</v>
      </c>
      <c r="B1" s="38" t="str">
        <f ca="1">CELL("filename",A1)</f>
        <v>C:\Users\laxmi\Downloads\[ProjectLog-G08-3115-350-1267.xlsx]Document</v>
      </c>
      <c r="C1" s="38"/>
      <c r="D1" s="38"/>
      <c r="E1" s="38"/>
      <c r="F1" s="38"/>
    </row>
    <row r="2" spans="1:6" s="36" customFormat="1" ht="24.9" customHeight="1" x14ac:dyDescent="0.3">
      <c r="A2" s="38" t="s">
        <v>15</v>
      </c>
      <c r="B2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IF(AND(MID(CELL("filename",B1),FIND("G",CELL("filename",B1))+3,1)="-",MID(CELL("filename",B1),FIND("G",CELL("filename",B1))+8,1)="-",MID(CELL("filename",B1),FIND("G",CELL("filename",B1))+12,1)="-"),MID(CELL("filename",B1),FIND("G",CELL("filename",B1))+13,4),"NOT FOUND")</f>
        <v>1267</v>
      </c>
      <c r="C2" s="38"/>
      <c r="D2" s="38"/>
      <c r="E2" s="38"/>
      <c r="F2" s="38"/>
    </row>
    <row r="3" spans="1:6" s="36" customFormat="1" ht="24.9" customHeight="1" x14ac:dyDescent="0.3">
      <c r="A3" s="38" t="s">
        <v>16</v>
      </c>
      <c r="B3" s="38" t="str">
        <f ca="1">"20"&amp;MID(B2,2,2)</f>
        <v>2026</v>
      </c>
      <c r="C3" s="38"/>
      <c r="D3" s="38"/>
      <c r="E3" s="38"/>
      <c r="F3" s="38"/>
    </row>
    <row r="4" spans="1:6" s="36" customFormat="1" ht="24.9" customHeight="1" x14ac:dyDescent="0.3">
      <c r="A4" s="38" t="s">
        <v>17</v>
      </c>
      <c r="B4" s="39">
        <f ca="1">DATE(B3,CHOOSE(IFERROR(MATCH(RIGHT(B2,1)*1,{1,4,7},0),1),1,5,9),1)</f>
        <v>46266</v>
      </c>
      <c r="C4" s="38"/>
      <c r="D4" s="38"/>
      <c r="E4" s="38"/>
      <c r="F4" s="38"/>
    </row>
    <row r="5" spans="1:6" s="36" customFormat="1" ht="24.9" customHeight="1" x14ac:dyDescent="0.3">
      <c r="A5" s="38" t="s">
        <v>18</v>
      </c>
      <c r="B5" s="39">
        <f ca="1">EOMONTH(DATE(B3,CHOOSE(IFERROR(MATCH(RIGHT(B2,1)*1,{1,4,7},0),3),4,8,12),1),0)</f>
        <v>46387</v>
      </c>
      <c r="C5" s="38"/>
      <c r="D5" s="38"/>
      <c r="E5" s="38"/>
      <c r="F5" s="38"/>
    </row>
    <row r="6" spans="1:6" s="36" customFormat="1" ht="24.9" customHeight="1" x14ac:dyDescent="0.3">
      <c r="A6" s="38" t="s">
        <v>19</v>
      </c>
      <c r="B6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IF(AND(MID(CELL("filename",B1),FIND("G",CELL("filename",B1))+3,1)="-",MID(CELL("filename",B1),FIND("G",CELL("filename",B1))+8,1)="-",MID(CELL("filename",B1),FIND("G",CELL("filename",B1))+12,1)="-"),MID(CELL("filename",B1),FIND("G",CELL("filename",B1))+9,3),"NOT FOUND")</f>
        <v>350</v>
      </c>
      <c r="C6" s="38"/>
      <c r="D6" s="38"/>
      <c r="E6" s="38"/>
      <c r="F6" s="38"/>
    </row>
    <row r="7" spans="1:6" s="36" customFormat="1" ht="24.9" customHeight="1" x14ac:dyDescent="0.3">
      <c r="A7" s="38"/>
      <c r="B7" s="38"/>
      <c r="C7" s="38"/>
      <c r="D7" s="38"/>
      <c r="E7" s="38"/>
      <c r="F7" s="38"/>
    </row>
    <row r="8" spans="1:6" s="36" customFormat="1" ht="24.9" customHeight="1" x14ac:dyDescent="0.3">
      <c r="A8" s="38"/>
      <c r="B8" s="38"/>
      <c r="C8" s="38"/>
      <c r="D8" s="38"/>
      <c r="E8" s="38"/>
      <c r="F8" s="38"/>
    </row>
    <row r="9" spans="1:6" s="36" customFormat="1" ht="24.9" customHeight="1" x14ac:dyDescent="0.3">
      <c r="A9" s="38"/>
      <c r="B9" s="38"/>
      <c r="C9" s="38"/>
      <c r="D9" s="38"/>
      <c r="E9" s="38"/>
      <c r="F9" s="38"/>
    </row>
    <row r="10" spans="1:6" s="36" customFormat="1" ht="24.9" customHeight="1" x14ac:dyDescent="0.3">
      <c r="A10" s="38"/>
      <c r="B10" s="38"/>
      <c r="C10" s="38"/>
      <c r="D10" s="38"/>
      <c r="E10" s="38"/>
      <c r="F10" s="38"/>
    </row>
    <row r="11" spans="1:6" s="36" customFormat="1" ht="24.9" customHeight="1" x14ac:dyDescent="0.3">
      <c r="A11" s="38"/>
      <c r="B11" s="38"/>
      <c r="C11" s="38"/>
      <c r="D11" s="38"/>
      <c r="E11" s="38"/>
      <c r="F11" s="38"/>
    </row>
    <row r="12" spans="1:6" s="36" customFormat="1" ht="24.9" customHeight="1" x14ac:dyDescent="0.3">
      <c r="A12" s="38"/>
      <c r="B12" s="38"/>
      <c r="C12" s="38"/>
      <c r="D12" s="38"/>
      <c r="E12" s="38"/>
      <c r="F12" s="38"/>
    </row>
    <row r="13" spans="1:6" s="36" customFormat="1" ht="24.9" customHeight="1" x14ac:dyDescent="0.3">
      <c r="A13" s="38"/>
      <c r="B13" s="38"/>
      <c r="C13" s="38"/>
      <c r="D13" s="38"/>
      <c r="E13" s="38"/>
      <c r="F13" s="38"/>
    </row>
    <row r="14" spans="1:6" s="36" customFormat="1" ht="24.9" customHeight="1" x14ac:dyDescent="0.3">
      <c r="A14" s="38"/>
      <c r="B14" s="38"/>
      <c r="C14" s="38"/>
      <c r="D14" s="38"/>
      <c r="E14" s="38"/>
      <c r="F14" s="38"/>
    </row>
    <row r="15" spans="1:6" s="36" customFormat="1" ht="24.9" customHeight="1" x14ac:dyDescent="0.3">
      <c r="A15" s="38"/>
      <c r="B15" s="38"/>
      <c r="C15" s="38"/>
      <c r="D15" s="38"/>
      <c r="E15" s="38"/>
      <c r="F15" s="38"/>
    </row>
    <row r="16" spans="1:6" s="36" customFormat="1" ht="24.9" customHeight="1" x14ac:dyDescent="0.3">
      <c r="A16" s="38"/>
      <c r="B16" s="38"/>
      <c r="C16" s="38"/>
      <c r="D16" s="38"/>
      <c r="E16" s="38"/>
      <c r="F16" s="38"/>
    </row>
    <row r="17" spans="1:6" s="36" customFormat="1" ht="24.9" customHeight="1" x14ac:dyDescent="0.3">
      <c r="A17" s="38"/>
      <c r="B17" s="38"/>
      <c r="C17" s="38"/>
      <c r="D17" s="38"/>
      <c r="E17" s="38"/>
      <c r="F17" s="38"/>
    </row>
    <row r="18" spans="1:6" s="36" customFormat="1" ht="24.9" customHeight="1" x14ac:dyDescent="0.3">
      <c r="A18" s="38"/>
      <c r="B18" s="38"/>
      <c r="C18" s="38"/>
      <c r="D18" s="38"/>
      <c r="E18" s="38"/>
      <c r="F18" s="38"/>
    </row>
    <row r="19" spans="1:6" s="36" customFormat="1" ht="24.9" customHeight="1" x14ac:dyDescent="0.3">
      <c r="A19" s="38"/>
      <c r="B19" s="38"/>
      <c r="C19" s="38"/>
      <c r="D19" s="38"/>
      <c r="E19" s="38"/>
      <c r="F19" s="38"/>
    </row>
    <row r="20" spans="1:6" s="36" customFormat="1" ht="24.9" customHeight="1" x14ac:dyDescent="0.3">
      <c r="A20" s="38"/>
      <c r="B20" s="38"/>
      <c r="C20" s="38"/>
      <c r="D20" s="38"/>
      <c r="E20" s="38"/>
      <c r="F20" s="38"/>
    </row>
    <row r="21" spans="1:6" s="36" customFormat="1" ht="24.9" customHeight="1" x14ac:dyDescent="0.3">
      <c r="A21" s="38"/>
      <c r="B21" s="38"/>
      <c r="C21" s="38"/>
      <c r="D21" s="38"/>
      <c r="E21" s="38"/>
      <c r="F21" s="38"/>
    </row>
    <row r="22" spans="1:6" s="36" customFormat="1" ht="24.9" customHeight="1" x14ac:dyDescent="0.3">
      <c r="A22" s="38"/>
      <c r="B22" s="38"/>
      <c r="C22" s="38"/>
      <c r="D22" s="38"/>
      <c r="E22" s="38"/>
      <c r="F22" s="38"/>
    </row>
    <row r="23" spans="1:6" s="36" customFormat="1" ht="24.9" customHeight="1" x14ac:dyDescent="0.3">
      <c r="A23" s="38"/>
      <c r="B23" s="38"/>
      <c r="C23" s="38"/>
      <c r="D23" s="38"/>
      <c r="E23" s="38"/>
      <c r="F23" s="38"/>
    </row>
    <row r="24" spans="1:6" s="36" customFormat="1" ht="24.9" customHeight="1" x14ac:dyDescent="0.3">
      <c r="A24" s="38"/>
      <c r="B24" s="38"/>
      <c r="C24" s="38"/>
      <c r="D24" s="38"/>
      <c r="E24" s="38"/>
      <c r="F24" s="38"/>
    </row>
    <row r="25" spans="1:6" s="36" customFormat="1" ht="24.9" customHeight="1" x14ac:dyDescent="0.3">
      <c r="A25" s="38"/>
      <c r="B25" s="38"/>
      <c r="C25" s="38"/>
      <c r="D25" s="38"/>
      <c r="E25" s="38"/>
      <c r="F25" s="38"/>
    </row>
    <row r="26" spans="1:6" s="36" customFormat="1" ht="24.9" customHeight="1" x14ac:dyDescent="0.3">
      <c r="A26" s="38"/>
      <c r="B26" s="38"/>
      <c r="C26" s="38"/>
      <c r="D26" s="38"/>
      <c r="E26" s="38"/>
      <c r="F26" s="38"/>
    </row>
    <row r="27" spans="1:6" s="36" customFormat="1" ht="24.9" customHeight="1" x14ac:dyDescent="0.3">
      <c r="A27" s="38"/>
      <c r="B27" s="38"/>
      <c r="C27" s="38"/>
      <c r="D27" s="38"/>
      <c r="E27" s="38"/>
      <c r="F27" s="38"/>
    </row>
    <row r="28" spans="1:6" s="36" customFormat="1" ht="24.9" customHeight="1" x14ac:dyDescent="0.3">
      <c r="A28" s="38"/>
      <c r="B28" s="38"/>
      <c r="C28" s="38"/>
      <c r="D28" s="38"/>
      <c r="E28" s="38"/>
      <c r="F28" s="38"/>
    </row>
    <row r="29" spans="1:6" s="36" customFormat="1" ht="24.9" customHeight="1" x14ac:dyDescent="0.3">
      <c r="A29" s="38"/>
      <c r="B29" s="38"/>
      <c r="C29" s="38"/>
      <c r="D29" s="38"/>
      <c r="E29" s="38"/>
      <c r="F29" s="38"/>
    </row>
    <row r="30" spans="1:6" s="36" customFormat="1" ht="24.9" customHeight="1" x14ac:dyDescent="0.3">
      <c r="A30" s="38"/>
      <c r="B30" s="38"/>
      <c r="C30" s="38"/>
      <c r="D30" s="38"/>
      <c r="E30" s="38"/>
      <c r="F30" s="38"/>
    </row>
    <row r="31" spans="1:6" s="36" customFormat="1" ht="24.9" customHeight="1" x14ac:dyDescent="0.3"/>
    <row r="32" spans="1:6" s="36" customFormat="1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  <row r="43" ht="24.9" customHeight="1" x14ac:dyDescent="0.3"/>
    <row r="44" ht="24.9" customHeight="1" x14ac:dyDescent="0.3"/>
    <row r="45" ht="24.9" customHeight="1" x14ac:dyDescent="0.3"/>
    <row r="46" ht="24.9" customHeight="1" x14ac:dyDescent="0.3"/>
    <row r="47" ht="24.9" customHeight="1" x14ac:dyDescent="0.3"/>
    <row r="48" ht="24.9" customHeight="1" x14ac:dyDescent="0.3"/>
    <row r="49" ht="24.9" customHeight="1" x14ac:dyDescent="0.3"/>
    <row r="50" ht="24.9" customHeight="1" x14ac:dyDescent="0.3"/>
    <row r="51" ht="24.9" customHeight="1" x14ac:dyDescent="0.3"/>
    <row r="52" ht="24.9" customHeight="1" x14ac:dyDescent="0.3"/>
    <row r="53" ht="24.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DP1.0</vt:lpstr>
      <vt:lpstr>DP1.1</vt:lpstr>
      <vt:lpstr>DP1.2</vt:lpstr>
      <vt:lpstr>DP2.0</vt:lpstr>
      <vt:lpstr>DP2.1</vt:lpstr>
      <vt:lpstr>FP</vt:lpstr>
      <vt:lpstr>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Laxmi Unnithan</cp:lastModifiedBy>
  <dcterms:created xsi:type="dcterms:W3CDTF">2020-03-26T16:58:46Z</dcterms:created>
  <dcterms:modified xsi:type="dcterms:W3CDTF">2026-10-26T06:50:42Z</dcterms:modified>
</cp:coreProperties>
</file>