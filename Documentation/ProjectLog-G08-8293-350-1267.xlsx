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te Balci\Downloads\"/>
    </mc:Choice>
  </mc:AlternateContent>
  <xr:revisionPtr revIDLastSave="0" documentId="13_ncr:1_{081CB427-6C8D-4E4F-9568-6504ADF07386}" xr6:coauthVersionLast="47" xr6:coauthVersionMax="47" xr10:uidLastSave="{00000000-0000-0000-0000-000000000000}"/>
  <workbookProtection workbookAlgorithmName="SHA-512" workbookHashValue="B1nXc+ttNphgS6+OefeGkGwXzi+3ZBUGnZ1+a9dMBSz2RQFjn+nk+gQNwgwiKQOgfbluNslYHhQkZkH+QrBWfA==" workbookSaltValue="TPzjv+Da8272A2E0l0gzsQ==" workbookSpinCount="100000" lockStructure="1"/>
  <bookViews>
    <workbookView xWindow="820" yWindow="-110" windowWidth="18490" windowHeight="11020" activeTab="1" xr2:uid="{5C666647-60C4-4C14-A5E1-8900F85EBB7F}"/>
  </bookViews>
  <sheets>
    <sheet name="DP1.0" sheetId="15" r:id="rId1"/>
    <sheet name="DP1.1" sheetId="14" r:id="rId2"/>
    <sheet name="DP1.2" sheetId="13" r:id="rId3"/>
    <sheet name="DP2.0" sheetId="11" r:id="rId4"/>
    <sheet name="DP2.1" sheetId="10" r:id="rId5"/>
    <sheet name="FP" sheetId="9" r:id="rId6"/>
    <sheet name="Document" sheetId="12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15" l="1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4" i="15"/>
  <c r="F13" i="15"/>
  <c r="F12" i="15"/>
  <c r="F11" i="15"/>
  <c r="F10" i="15"/>
  <c r="F9" i="15"/>
  <c r="F79" i="14"/>
  <c r="F78" i="14"/>
  <c r="F77" i="14"/>
  <c r="F76" i="14"/>
  <c r="F75" i="14"/>
  <c r="F74" i="14"/>
  <c r="F73" i="14"/>
  <c r="F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3" i="10"/>
  <c r="F12" i="10"/>
  <c r="F11" i="10"/>
  <c r="F10" i="10"/>
  <c r="F9" i="10"/>
  <c r="F8" i="10"/>
  <c r="F7" i="10"/>
  <c r="H79" i="15"/>
  <c r="F79" i="15" s="1"/>
  <c r="H78" i="15"/>
  <c r="F78" i="15" s="1"/>
  <c r="H77" i="15"/>
  <c r="F77" i="15" s="1"/>
  <c r="H76" i="15"/>
  <c r="F76" i="15" s="1"/>
  <c r="H75" i="15"/>
  <c r="F75" i="15" s="1"/>
  <c r="H74" i="15"/>
  <c r="F74" i="15" s="1"/>
  <c r="H73" i="15"/>
  <c r="F73" i="15" s="1"/>
  <c r="H72" i="15"/>
  <c r="F72" i="15" s="1"/>
  <c r="H71" i="15"/>
  <c r="F71" i="15" s="1"/>
  <c r="H70" i="15"/>
  <c r="F70" i="15" s="1"/>
  <c r="H69" i="15"/>
  <c r="F69" i="15" s="1"/>
  <c r="H68" i="15"/>
  <c r="F68" i="15" s="1"/>
  <c r="H67" i="15"/>
  <c r="F67" i="15" s="1"/>
  <c r="H66" i="15"/>
  <c r="F66" i="15" s="1"/>
  <c r="H65" i="15"/>
  <c r="F65" i="15" s="1"/>
  <c r="H64" i="15"/>
  <c r="F64" i="15" s="1"/>
  <c r="H63" i="15"/>
  <c r="F63" i="15" s="1"/>
  <c r="H62" i="15"/>
  <c r="F62" i="15" s="1"/>
  <c r="H61" i="15"/>
  <c r="F61" i="15" s="1"/>
  <c r="H60" i="15"/>
  <c r="F60" i="15" s="1"/>
  <c r="H59" i="15"/>
  <c r="F59" i="15" s="1"/>
  <c r="H58" i="15"/>
  <c r="F58" i="15" s="1"/>
  <c r="H57" i="15"/>
  <c r="F57" i="15" s="1"/>
  <c r="H56" i="15"/>
  <c r="F56" i="15" s="1"/>
  <c r="H55" i="15"/>
  <c r="F55" i="15" s="1"/>
  <c r="H54" i="15"/>
  <c r="F54" i="15" s="1"/>
  <c r="H53" i="15"/>
  <c r="F53" i="15" s="1"/>
  <c r="H52" i="15"/>
  <c r="F52" i="15" s="1"/>
  <c r="H51" i="15"/>
  <c r="F51" i="15" s="1"/>
  <c r="H50" i="15"/>
  <c r="F50" i="15" s="1"/>
  <c r="H49" i="15"/>
  <c r="F49" i="15" s="1"/>
  <c r="H48" i="15"/>
  <c r="F48" i="15" s="1"/>
  <c r="H47" i="15"/>
  <c r="F47" i="15" s="1"/>
  <c r="H46" i="15"/>
  <c r="F46" i="15" s="1"/>
  <c r="H45" i="15"/>
  <c r="F45" i="15" s="1"/>
  <c r="H44" i="15"/>
  <c r="F44" i="15" s="1"/>
  <c r="H43" i="15"/>
  <c r="F43" i="15" s="1"/>
  <c r="H42" i="15"/>
  <c r="F42" i="15" s="1"/>
  <c r="H41" i="15"/>
  <c r="F41" i="15" s="1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F15" i="15" s="1"/>
  <c r="H14" i="15"/>
  <c r="H13" i="15"/>
  <c r="H12" i="15"/>
  <c r="H11" i="15"/>
  <c r="H10" i="15"/>
  <c r="H9" i="15"/>
  <c r="H8" i="15"/>
  <c r="F8" i="15" s="1"/>
  <c r="H7" i="15"/>
  <c r="F7" i="15" s="1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F9" i="14" s="1"/>
  <c r="H8" i="14"/>
  <c r="F8" i="14" s="1"/>
  <c r="H7" i="14"/>
  <c r="F7" i="14" s="1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80" i="13" s="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F14" i="10" s="1"/>
  <c r="H13" i="10"/>
  <c r="H12" i="10"/>
  <c r="H11" i="10"/>
  <c r="H10" i="10"/>
  <c r="H9" i="10"/>
  <c r="H8" i="10"/>
  <c r="H7" i="10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8" i="9"/>
  <c r="F17" i="9"/>
  <c r="F16" i="9"/>
  <c r="F15" i="9"/>
  <c r="F14" i="9"/>
  <c r="F13" i="9"/>
  <c r="F12" i="9"/>
  <c r="F11" i="9"/>
  <c r="F10" i="9"/>
  <c r="F9" i="9"/>
  <c r="F8" i="9"/>
  <c r="H80" i="15" l="1"/>
  <c r="H80" i="14"/>
  <c r="B6" i="12"/>
  <c r="B1" i="12" l="1"/>
  <c r="B2" i="12"/>
  <c r="B3" i="12" s="1"/>
  <c r="B5" i="12" s="1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F19" i="9" s="1"/>
  <c r="H18" i="9"/>
  <c r="H17" i="9"/>
  <c r="H16" i="9"/>
  <c r="H15" i="9"/>
  <c r="H14" i="9"/>
  <c r="H13" i="9"/>
  <c r="H12" i="9"/>
  <c r="H11" i="9"/>
  <c r="H10" i="9"/>
  <c r="H9" i="9"/>
  <c r="H8" i="9"/>
  <c r="H7" i="9"/>
  <c r="F7" i="9" s="1"/>
  <c r="A1" i="15" l="1"/>
  <c r="A1" i="14"/>
  <c r="A1" i="13"/>
  <c r="A1" i="9"/>
  <c r="A1" i="10"/>
  <c r="A1" i="11"/>
  <c r="B4" i="12"/>
  <c r="H80" i="11"/>
  <c r="H80" i="10"/>
  <c r="H80" i="9"/>
</calcChain>
</file>

<file path=xl/sharedStrings.xml><?xml version="1.0" encoding="utf-8"?>
<sst xmlns="http://schemas.openxmlformats.org/spreadsheetml/2006/main" count="107" uniqueCount="33">
  <si>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</si>
  <si>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</si>
  <si>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</si>
  <si>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</si>
  <si>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</si>
  <si>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</si>
  <si>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</si>
  <si>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</si>
  <si>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</si>
  <si>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</si>
  <si>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</si>
  <si>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</si>
  <si>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</si>
  <si>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</si>
  <si>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>Filename</t>
  </si>
  <si>
    <t>Semester</t>
  </si>
  <si>
    <t>Year</t>
  </si>
  <si>
    <t>Start Date</t>
  </si>
  <si>
    <t>End Date</t>
  </si>
  <si>
    <t>Course Number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</si>
  <si>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</si>
  <si>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</si>
  <si>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</si>
  <si>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</si>
  <si>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</si>
  <si>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</si>
  <si>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t>G08</t>
  </si>
  <si>
    <t>Nazim Mete Balci</t>
  </si>
  <si>
    <t>Proof reading files and fixing small typos.</t>
  </si>
  <si>
    <t>Created project report's titles, and the main structure.</t>
  </si>
  <si>
    <t>Proof reading reports</t>
  </si>
  <si>
    <t>Coding Carry skip. Writing testbenches for baseline and conditional sum. Python generator for tvs file.</t>
  </si>
  <si>
    <t xml:space="preserve">Added functional verification part and graphs.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</si>
</sst>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09]d/mmm/yy;@"/>
    <numFmt numFmtId="165" formatCode="0000"/>
    <numFmt numFmtId="166" formatCode="00000\-0000"/>
    <numFmt numFmtId="167" formatCode="[$-F800]dddd\,\ mmmm\ dd\,\ 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  <font>
      <sz val="3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1" fillId="3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8" fontId="1" fillId="3" borderId="4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vertical="center"/>
      <protection hidden="1"/>
    </xf>
    <xf numFmtId="165" fontId="3" fillId="4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11" xfId="0" applyNumberFormat="1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3" fillId="0" borderId="10" xfId="0" applyNumberFormat="1" applyFont="1" applyBorder="1" applyProtection="1">
      <protection hidden="1"/>
    </xf>
    <xf numFmtId="2" fontId="3" fillId="0" borderId="13" xfId="0" applyNumberFormat="1" applyFont="1" applyBorder="1" applyProtection="1">
      <protection hidden="1"/>
    </xf>
    <xf numFmtId="2" fontId="3" fillId="5" borderId="0" xfId="0" applyNumberFormat="1" applyFont="1" applyFill="1" applyProtection="1">
      <protection hidden="1"/>
    </xf>
    <xf numFmtId="2" fontId="3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0" fontId="11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 wrapText="1"/>
    </xf>
    <xf numFmtId="22" fontId="0" fillId="4" borderId="12" xfId="0" applyNumberFormat="1" applyFill="1" applyBorder="1" applyAlignment="1" applyProtection="1">
      <alignment vertical="center"/>
      <protection locked="0"/>
    </xf>
    <xf numFmtId="0" fontId="0" fillId="0" borderId="0" xfId="0" applyAlignment="1">
      <alignment horizontal="left" vertical="center"/>
    </xf>
    <xf numFmtId="0" fontId="14" fillId="5" borderId="1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left" vertical="center"/>
      <protection hidden="1"/>
    </xf>
    <xf numFmtId="167" fontId="0" fillId="0" borderId="0" xfId="0" applyNumberFormat="1" applyAlignment="1" applyProtection="1">
      <alignment horizontal="left" vertical="center"/>
      <protection hidden="1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18" fontId="4" fillId="5" borderId="21" xfId="0" applyNumberFormat="1" applyFont="1" applyFill="1" applyBorder="1" applyAlignment="1">
      <alignment horizontal="center" vertical="center"/>
    </xf>
    <xf numFmtId="18" fontId="4" fillId="5" borderId="4" xfId="0" applyNumberFormat="1" applyFont="1" applyFill="1" applyBorder="1" applyAlignment="1">
      <alignment horizontal="center" vertical="center"/>
    </xf>
    <xf numFmtId="18" fontId="4" fillId="5" borderId="22" xfId="0" applyNumberFormat="1" applyFont="1" applyFill="1" applyBorder="1" applyAlignment="1">
      <alignment horizontal="center" vertical="center"/>
    </xf>
    <xf numFmtId="18" fontId="4" fillId="5" borderId="0" xfId="0" applyNumberFormat="1" applyFont="1" applyFill="1" applyAlignment="1">
      <alignment horizontal="center" vertical="center"/>
    </xf>
    <xf numFmtId="18" fontId="4" fillId="5" borderId="23" xfId="0" applyNumberFormat="1" applyFont="1" applyFill="1" applyBorder="1" applyAlignment="1">
      <alignment horizontal="center" vertical="center"/>
    </xf>
    <xf numFmtId="18" fontId="4" fillId="5" borderId="24" xfId="0" applyNumberFormat="1" applyFont="1" applyFill="1" applyBorder="1" applyAlignment="1">
      <alignment horizontal="center" vertical="center"/>
    </xf>
    <xf numFmtId="166" fontId="3" fillId="4" borderId="16" xfId="0" applyNumberFormat="1" applyFont="1" applyFill="1" applyBorder="1" applyAlignment="1" applyProtection="1">
      <alignment horizontal="center" vertical="center"/>
      <protection locked="0"/>
    </xf>
    <xf numFmtId="166" fontId="3" fillId="4" borderId="10" xfId="0" applyNumberFormat="1" applyFont="1" applyFill="1" applyBorder="1" applyAlignment="1" applyProtection="1">
      <alignment horizontal="center" vertical="center"/>
      <protection locked="0"/>
    </xf>
    <xf numFmtId="166" fontId="3" fillId="4" borderId="17" xfId="0" applyNumberFormat="1" applyFont="1" applyFill="1" applyBorder="1" applyAlignment="1" applyProtection="1">
      <alignment horizontal="center" vertical="center"/>
      <protection locked="0"/>
    </xf>
    <xf numFmtId="0" fontId="7" fillId="4" borderId="16" xfId="0" applyFont="1" applyFill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 applyProtection="1">
      <alignment horizontal="center" vertical="center"/>
      <protection locked="0"/>
    </xf>
    <xf numFmtId="9" fontId="7" fillId="4" borderId="16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4"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1ADA-044D-43C5-ADD2-C9E3A2C787ED}">
  <dimension ref="A1:I783"/>
  <sheetViews>
    <sheetView zoomScale="85" zoomScaleNormal="85" workbookViewId="0">
      <selection activeCell="G10" sqref="G10"/>
    </sheetView>
  </sheetViews>
  <sheetFormatPr defaultRowHeight="14.5" x14ac:dyDescent="0.35"/>
  <cols>
    <col min="1" max="1" width="37.26953125" customWidth="1"/>
    <col min="2" max="2" width="15.7265625" customWidth="1"/>
    <col min="3" max="3" width="15.7265625" style="2" customWidth="1"/>
    <col min="4" max="5" width="15.7265625" style="7" customWidth="1"/>
    <col min="6" max="6" width="15.7265625" customWidth="1"/>
    <col min="7" max="7" width="189.54296875" customWidth="1"/>
    <col min="8" max="8" width="15.7265625" customWidth="1"/>
    <col min="9" max="9" width="26" customWidth="1"/>
    <col min="10" max="33" width="15.7265625" customWidth="1"/>
  </cols>
  <sheetData>
    <row r="1" spans="1:9" ht="94.15" customHeight="1" thickBot="1" x14ac:dyDescent="0.4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5" customHeight="1" x14ac:dyDescent="0.35">
      <c r="A2" s="33" t="s">
        <v>6</v>
      </c>
      <c r="B2" s="46" t="s">
        <v>27</v>
      </c>
      <c r="C2" s="47"/>
      <c r="D2" s="48"/>
      <c r="E2" s="49" t="s">
        <v>20</v>
      </c>
      <c r="F2" s="50"/>
      <c r="G2" s="50"/>
    </row>
    <row r="3" spans="1:9" ht="25" customHeight="1" x14ac:dyDescent="0.35">
      <c r="A3" s="33" t="s">
        <v>5</v>
      </c>
      <c r="B3" s="55">
        <v>301578293</v>
      </c>
      <c r="C3" s="56"/>
      <c r="D3" s="57"/>
      <c r="E3" s="51"/>
      <c r="F3" s="52"/>
      <c r="G3" s="52"/>
    </row>
    <row r="4" spans="1:9" ht="25" customHeight="1" thickBot="1" x14ac:dyDescent="0.4">
      <c r="A4" s="33" t="s">
        <v>4</v>
      </c>
      <c r="B4" s="58" t="s">
        <v>26</v>
      </c>
      <c r="C4" s="59"/>
      <c r="D4" s="60"/>
      <c r="E4" s="51"/>
      <c r="F4" s="52"/>
      <c r="G4" s="52"/>
    </row>
    <row r="5" spans="1:9" ht="59.5" customHeight="1" thickBot="1" x14ac:dyDescent="0.4">
      <c r="A5" s="34" t="s">
        <v>11</v>
      </c>
      <c r="B5" s="61">
        <v>0.25</v>
      </c>
      <c r="C5" s="59"/>
      <c r="D5" s="60"/>
      <c r="E5" s="53"/>
      <c r="F5" s="54"/>
      <c r="G5" s="54"/>
    </row>
    <row r="6" spans="1:9" s="1" customFormat="1" ht="25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35">
      <c r="A7" s="30"/>
      <c r="B7" s="12">
        <v>8293</v>
      </c>
      <c r="C7" s="18">
        <v>46306</v>
      </c>
      <c r="D7" s="19">
        <v>0.79861111111111116</v>
      </c>
      <c r="E7" s="20">
        <v>0.81944444444444442</v>
      </c>
      <c r="F7" s="40" t="str">
        <f>IF(AND(NOT(ISBLANK($D7)),NOT(ISBLANK($E7)),OR($H7&lt;0,$H7&gt;2)),"ERROR","")</f>
        <v/>
      </c>
      <c r="G7" s="15" t="s">
        <v>29</v>
      </c>
      <c r="H7" s="11">
        <f>IF(E7&gt;=D7, E7-D7, 1-D7+E7)*24</f>
        <v>0.49999999999999822</v>
      </c>
      <c r="I7" s="9"/>
    </row>
    <row r="8" spans="1:9" ht="25" customHeight="1" x14ac:dyDescent="0.45">
      <c r="A8" s="31"/>
      <c r="B8" s="13">
        <v>8293</v>
      </c>
      <c r="C8" s="21">
        <v>46306</v>
      </c>
      <c r="D8" s="19">
        <v>0.91666666666666663</v>
      </c>
      <c r="E8" s="22">
        <v>0.93055555555555558</v>
      </c>
      <c r="F8" s="41" t="str">
        <f t="shared" ref="F8:F71" si="0">IF(AND(NOT(ISBLANK($D8)),NOT(ISBLANK($E8)),OR($H8&lt;0,$H8&gt;2)),"ERROR","")</f>
        <v/>
      </c>
      <c r="G8" s="16" t="s">
        <v>28</v>
      </c>
      <c r="H8" s="26">
        <f t="shared" ref="H8:H71" si="1">IF(E8&gt;=D8, E8-D8, 1-D8+E8)*24</f>
        <v>0.33333333333333481</v>
      </c>
    </row>
    <row r="9" spans="1:9" ht="25" customHeight="1" x14ac:dyDescent="0.4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5" customHeight="1" x14ac:dyDescent="0.4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5" customHeight="1" x14ac:dyDescent="0.4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5" customHeight="1" x14ac:dyDescent="0.4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5" customHeight="1" x14ac:dyDescent="0.4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5" customHeight="1" x14ac:dyDescent="0.4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5" customHeight="1" x14ac:dyDescent="0.4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5" customHeight="1" x14ac:dyDescent="0.4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5" customHeight="1" x14ac:dyDescent="0.4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5" customHeight="1" x14ac:dyDescent="0.4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5" customHeight="1" x14ac:dyDescent="0.4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5" customHeight="1" x14ac:dyDescent="0.4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5" customHeight="1" x14ac:dyDescent="0.4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5" customHeight="1" x14ac:dyDescent="0.4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5" customHeight="1" x14ac:dyDescent="0.4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5" customHeight="1" x14ac:dyDescent="0.4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5" customHeight="1" x14ac:dyDescent="0.4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5" customHeight="1" x14ac:dyDescent="0.4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5" customHeight="1" x14ac:dyDescent="0.4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5" customHeight="1" x14ac:dyDescent="0.4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5" customHeight="1" x14ac:dyDescent="0.4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5" customHeight="1" x14ac:dyDescent="0.4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5" customHeight="1" x14ac:dyDescent="0.4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5" customHeight="1" x14ac:dyDescent="0.4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5" customHeight="1" x14ac:dyDescent="0.4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5" customHeight="1" x14ac:dyDescent="0.4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5" customHeight="1" x14ac:dyDescent="0.4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5" customHeight="1" x14ac:dyDescent="0.4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5" customHeight="1" x14ac:dyDescent="0.4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5" customHeight="1" x14ac:dyDescent="0.4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5" customHeight="1" x14ac:dyDescent="0.4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5" customHeight="1" x14ac:dyDescent="0.4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5" customHeight="1" x14ac:dyDescent="0.4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5" customHeight="1" x14ac:dyDescent="0.4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5" customHeight="1" x14ac:dyDescent="0.4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5" customHeight="1" x14ac:dyDescent="0.4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5" customHeight="1" x14ac:dyDescent="0.4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5" customHeight="1" x14ac:dyDescent="0.4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5" customHeight="1" x14ac:dyDescent="0.4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5" customHeight="1" x14ac:dyDescent="0.4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5" customHeight="1" x14ac:dyDescent="0.4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5" customHeight="1" x14ac:dyDescent="0.4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5" customHeight="1" x14ac:dyDescent="0.4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5" customHeight="1" x14ac:dyDescent="0.4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5" customHeight="1" x14ac:dyDescent="0.4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5" customHeight="1" x14ac:dyDescent="0.4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5" customHeight="1" x14ac:dyDescent="0.4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5" customHeight="1" x14ac:dyDescent="0.4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5" customHeight="1" x14ac:dyDescent="0.4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5" customHeight="1" x14ac:dyDescent="0.4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5" customHeight="1" x14ac:dyDescent="0.4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5" customHeight="1" x14ac:dyDescent="0.4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5" customHeight="1" x14ac:dyDescent="0.4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5" customHeight="1" x14ac:dyDescent="0.4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5" customHeight="1" x14ac:dyDescent="0.4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5" customHeight="1" x14ac:dyDescent="0.4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5" customHeight="1" x14ac:dyDescent="0.4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5" customHeight="1" x14ac:dyDescent="0.4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5" customHeight="1" x14ac:dyDescent="0.4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5" customHeight="1" x14ac:dyDescent="0.4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5" customHeight="1" x14ac:dyDescent="0.4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5" customHeight="1" x14ac:dyDescent="0.4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5" customHeight="1" x14ac:dyDescent="0.4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5" customHeight="1" x14ac:dyDescent="0.4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5" customHeight="1" x14ac:dyDescent="0.4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5" customHeight="1" x14ac:dyDescent="0.4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5" customHeight="1" x14ac:dyDescent="0.4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5" customHeight="1" x14ac:dyDescent="0.4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5" customHeight="1" x14ac:dyDescent="0.4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5" customHeight="1" x14ac:dyDescent="0.4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5" customHeight="1" thickBot="1" x14ac:dyDescent="0.5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5" customHeight="1" x14ac:dyDescent="0.45">
      <c r="F80" s="29"/>
      <c r="H80" s="28">
        <f>SUM(H7:H79)</f>
        <v>0.83333333333333304</v>
      </c>
    </row>
    <row r="81" ht="25" customHeight="1" x14ac:dyDescent="0.35"/>
    <row r="82" ht="25" customHeight="1" x14ac:dyDescent="0.35"/>
    <row r="83" ht="25" customHeight="1" x14ac:dyDescent="0.35"/>
    <row r="84" ht="25" customHeight="1" x14ac:dyDescent="0.35"/>
    <row r="85" ht="25" customHeight="1" x14ac:dyDescent="0.35"/>
    <row r="86" ht="25" customHeight="1" x14ac:dyDescent="0.35"/>
    <row r="87" ht="25" customHeight="1" x14ac:dyDescent="0.35"/>
    <row r="88" ht="25" customHeight="1" x14ac:dyDescent="0.35"/>
    <row r="89" ht="25" customHeight="1" x14ac:dyDescent="0.35"/>
    <row r="90" ht="25" customHeight="1" x14ac:dyDescent="0.35"/>
    <row r="91" ht="25" customHeight="1" x14ac:dyDescent="0.35"/>
    <row r="92" ht="25" customHeight="1" x14ac:dyDescent="0.35"/>
    <row r="93" ht="25" customHeight="1" x14ac:dyDescent="0.35"/>
    <row r="94" ht="25" customHeight="1" x14ac:dyDescent="0.35"/>
    <row r="95" ht="25" customHeight="1" x14ac:dyDescent="0.35"/>
    <row r="96" ht="25" customHeight="1" x14ac:dyDescent="0.35"/>
    <row r="97" ht="25" customHeight="1" x14ac:dyDescent="0.35"/>
    <row r="98" ht="25" customHeight="1" x14ac:dyDescent="0.35"/>
    <row r="99" ht="25" customHeight="1" x14ac:dyDescent="0.35"/>
    <row r="100" ht="25" customHeight="1" x14ac:dyDescent="0.35"/>
    <row r="101" ht="25" customHeight="1" x14ac:dyDescent="0.35"/>
    <row r="102" ht="25" customHeight="1" x14ac:dyDescent="0.35"/>
    <row r="103" ht="25" customHeight="1" x14ac:dyDescent="0.35"/>
    <row r="104" ht="25" customHeight="1" x14ac:dyDescent="0.35"/>
    <row r="105" ht="25" customHeight="1" x14ac:dyDescent="0.35"/>
    <row r="106" ht="25" customHeight="1" x14ac:dyDescent="0.35"/>
    <row r="107" ht="25" customHeight="1" x14ac:dyDescent="0.35"/>
    <row r="108" ht="25" customHeight="1" x14ac:dyDescent="0.35"/>
    <row r="109" ht="25" customHeight="1" x14ac:dyDescent="0.35"/>
    <row r="110" ht="25" customHeight="1" x14ac:dyDescent="0.35"/>
    <row r="111" ht="25" customHeight="1" x14ac:dyDescent="0.35"/>
    <row r="112" ht="25" customHeight="1" x14ac:dyDescent="0.35"/>
    <row r="113" ht="25" customHeight="1" x14ac:dyDescent="0.35"/>
    <row r="114" ht="25" customHeight="1" x14ac:dyDescent="0.35"/>
    <row r="115" ht="25" customHeight="1" x14ac:dyDescent="0.35"/>
    <row r="116" ht="25" customHeight="1" x14ac:dyDescent="0.35"/>
    <row r="117" ht="25" customHeight="1" x14ac:dyDescent="0.35"/>
    <row r="118" ht="25" customHeight="1" x14ac:dyDescent="0.35"/>
    <row r="119" ht="25" customHeight="1" x14ac:dyDescent="0.35"/>
    <row r="120" ht="25" customHeight="1" x14ac:dyDescent="0.35"/>
    <row r="121" ht="25" customHeight="1" x14ac:dyDescent="0.35"/>
    <row r="122" ht="25" customHeight="1" x14ac:dyDescent="0.35"/>
    <row r="123" ht="25" customHeight="1" x14ac:dyDescent="0.35"/>
    <row r="124" ht="25" customHeight="1" x14ac:dyDescent="0.35"/>
    <row r="125" ht="25" customHeight="1" x14ac:dyDescent="0.35"/>
    <row r="126" ht="25" customHeight="1" x14ac:dyDescent="0.35"/>
    <row r="127" ht="25" customHeight="1" x14ac:dyDescent="0.35"/>
    <row r="128" ht="25" customHeight="1" x14ac:dyDescent="0.35"/>
    <row r="129" ht="25" customHeight="1" x14ac:dyDescent="0.35"/>
    <row r="130" ht="25" customHeight="1" x14ac:dyDescent="0.35"/>
    <row r="131" ht="25" customHeight="1" x14ac:dyDescent="0.35"/>
    <row r="132" ht="25" customHeight="1" x14ac:dyDescent="0.35"/>
    <row r="133" ht="25" customHeight="1" x14ac:dyDescent="0.35"/>
    <row r="134" ht="25" customHeight="1" x14ac:dyDescent="0.35"/>
    <row r="135" ht="25" customHeight="1" x14ac:dyDescent="0.35"/>
    <row r="136" ht="25" customHeight="1" x14ac:dyDescent="0.35"/>
    <row r="137" ht="25" customHeight="1" x14ac:dyDescent="0.35"/>
    <row r="138" ht="25" customHeight="1" x14ac:dyDescent="0.35"/>
    <row r="139" ht="25" customHeight="1" x14ac:dyDescent="0.35"/>
    <row r="140" ht="25" customHeight="1" x14ac:dyDescent="0.35"/>
    <row r="141" ht="25" customHeight="1" x14ac:dyDescent="0.35"/>
    <row r="142" ht="25" customHeight="1" x14ac:dyDescent="0.35"/>
    <row r="143" ht="25" customHeight="1" x14ac:dyDescent="0.35"/>
    <row r="144" ht="25" customHeight="1" x14ac:dyDescent="0.35"/>
    <row r="145" ht="25" customHeight="1" x14ac:dyDescent="0.35"/>
    <row r="146" ht="25" customHeight="1" x14ac:dyDescent="0.35"/>
    <row r="147" ht="25" customHeight="1" x14ac:dyDescent="0.35"/>
    <row r="148" ht="25" customHeight="1" x14ac:dyDescent="0.35"/>
    <row r="149" ht="25" customHeight="1" x14ac:dyDescent="0.35"/>
    <row r="150" ht="25" customHeight="1" x14ac:dyDescent="0.35"/>
    <row r="151" ht="25" customHeight="1" x14ac:dyDescent="0.35"/>
    <row r="152" ht="25" customHeight="1" x14ac:dyDescent="0.35"/>
    <row r="153" ht="25" customHeight="1" x14ac:dyDescent="0.35"/>
    <row r="154" ht="25" customHeight="1" x14ac:dyDescent="0.35"/>
    <row r="155" ht="25" customHeight="1" x14ac:dyDescent="0.35"/>
    <row r="156" ht="25" customHeight="1" x14ac:dyDescent="0.35"/>
    <row r="157" ht="25" customHeight="1" x14ac:dyDescent="0.35"/>
    <row r="158" ht="25" customHeight="1" x14ac:dyDescent="0.35"/>
    <row r="159" ht="25" customHeight="1" x14ac:dyDescent="0.35"/>
    <row r="160" ht="25" customHeight="1" x14ac:dyDescent="0.35"/>
    <row r="161" ht="25" customHeight="1" x14ac:dyDescent="0.35"/>
    <row r="162" ht="25" customHeight="1" x14ac:dyDescent="0.35"/>
    <row r="163" ht="25" customHeight="1" x14ac:dyDescent="0.35"/>
    <row r="164" ht="25" customHeight="1" x14ac:dyDescent="0.35"/>
    <row r="165" ht="25" customHeight="1" x14ac:dyDescent="0.35"/>
    <row r="166" ht="25" customHeight="1" x14ac:dyDescent="0.35"/>
    <row r="167" ht="25" customHeight="1" x14ac:dyDescent="0.35"/>
    <row r="168" ht="25" customHeight="1" x14ac:dyDescent="0.35"/>
    <row r="169" ht="25" customHeight="1" x14ac:dyDescent="0.35"/>
    <row r="170" ht="25" customHeight="1" x14ac:dyDescent="0.35"/>
    <row r="171" ht="25" customHeight="1" x14ac:dyDescent="0.35"/>
    <row r="172" ht="25" customHeight="1" x14ac:dyDescent="0.35"/>
    <row r="173" ht="25" customHeight="1" x14ac:dyDescent="0.35"/>
    <row r="174" ht="25" customHeight="1" x14ac:dyDescent="0.35"/>
    <row r="175" ht="25" customHeight="1" x14ac:dyDescent="0.35"/>
    <row r="176" ht="25" customHeight="1" x14ac:dyDescent="0.35"/>
    <row r="177" ht="25" customHeight="1" x14ac:dyDescent="0.35"/>
    <row r="178" ht="25" customHeight="1" x14ac:dyDescent="0.35"/>
    <row r="179" ht="25" customHeight="1" x14ac:dyDescent="0.35"/>
    <row r="180" ht="25" customHeight="1" x14ac:dyDescent="0.35"/>
    <row r="181" ht="25" customHeight="1" x14ac:dyDescent="0.35"/>
    <row r="182" ht="25" customHeight="1" x14ac:dyDescent="0.35"/>
    <row r="183" ht="25" customHeight="1" x14ac:dyDescent="0.35"/>
    <row r="184" ht="25" customHeight="1" x14ac:dyDescent="0.35"/>
    <row r="185" ht="25" customHeight="1" x14ac:dyDescent="0.35"/>
    <row r="186" ht="25" customHeight="1" x14ac:dyDescent="0.35"/>
    <row r="187" ht="25" customHeight="1" x14ac:dyDescent="0.35"/>
    <row r="188" ht="25" customHeight="1" x14ac:dyDescent="0.35"/>
    <row r="189" ht="25" customHeight="1" x14ac:dyDescent="0.35"/>
    <row r="190" ht="25" customHeight="1" x14ac:dyDescent="0.35"/>
    <row r="191" ht="25" customHeight="1" x14ac:dyDescent="0.35"/>
    <row r="192" ht="25" customHeight="1" x14ac:dyDescent="0.35"/>
    <row r="193" ht="25" customHeight="1" x14ac:dyDescent="0.35"/>
    <row r="194" ht="25" customHeight="1" x14ac:dyDescent="0.35"/>
    <row r="195" ht="25" customHeight="1" x14ac:dyDescent="0.35"/>
    <row r="196" ht="25" customHeight="1" x14ac:dyDescent="0.35"/>
    <row r="197" ht="25" customHeight="1" x14ac:dyDescent="0.35"/>
    <row r="198" ht="25" customHeight="1" x14ac:dyDescent="0.35"/>
    <row r="199" ht="25" customHeight="1" x14ac:dyDescent="0.35"/>
    <row r="200" ht="25" customHeight="1" x14ac:dyDescent="0.35"/>
    <row r="201" ht="25" customHeight="1" x14ac:dyDescent="0.35"/>
    <row r="202" ht="25" customHeight="1" x14ac:dyDescent="0.35"/>
    <row r="203" ht="25" customHeight="1" x14ac:dyDescent="0.35"/>
    <row r="204" ht="25" customHeight="1" x14ac:dyDescent="0.35"/>
    <row r="205" ht="25" customHeight="1" x14ac:dyDescent="0.35"/>
    <row r="206" ht="25" customHeight="1" x14ac:dyDescent="0.35"/>
    <row r="207" ht="25" customHeight="1" x14ac:dyDescent="0.35"/>
    <row r="208" ht="25" customHeight="1" x14ac:dyDescent="0.35"/>
    <row r="209" ht="25" customHeight="1" x14ac:dyDescent="0.35"/>
    <row r="210" ht="25" customHeight="1" x14ac:dyDescent="0.35"/>
    <row r="211" ht="25" customHeight="1" x14ac:dyDescent="0.35"/>
    <row r="212" ht="25" customHeight="1" x14ac:dyDescent="0.35"/>
    <row r="213" ht="25" customHeight="1" x14ac:dyDescent="0.35"/>
    <row r="214" ht="25" customHeight="1" x14ac:dyDescent="0.35"/>
    <row r="215" ht="25" customHeight="1" x14ac:dyDescent="0.35"/>
    <row r="216" ht="25" customHeight="1" x14ac:dyDescent="0.35"/>
    <row r="217" ht="25" customHeight="1" x14ac:dyDescent="0.35"/>
    <row r="218" ht="25" customHeight="1" x14ac:dyDescent="0.35"/>
    <row r="219" ht="25" customHeight="1" x14ac:dyDescent="0.35"/>
    <row r="220" ht="25" customHeight="1" x14ac:dyDescent="0.35"/>
    <row r="221" ht="25" customHeight="1" x14ac:dyDescent="0.35"/>
    <row r="222" ht="25" customHeight="1" x14ac:dyDescent="0.35"/>
    <row r="223" ht="25" customHeight="1" x14ac:dyDescent="0.35"/>
    <row r="224" ht="25" customHeight="1" x14ac:dyDescent="0.35"/>
    <row r="225" ht="25" customHeight="1" x14ac:dyDescent="0.35"/>
    <row r="226" ht="25" customHeight="1" x14ac:dyDescent="0.35"/>
    <row r="227" ht="25" customHeight="1" x14ac:dyDescent="0.35"/>
    <row r="228" ht="25" customHeight="1" x14ac:dyDescent="0.35"/>
    <row r="229" ht="25" customHeight="1" x14ac:dyDescent="0.35"/>
    <row r="230" ht="25" customHeight="1" x14ac:dyDescent="0.35"/>
    <row r="231" ht="25" customHeight="1" x14ac:dyDescent="0.35"/>
    <row r="232" ht="25" customHeight="1" x14ac:dyDescent="0.35"/>
    <row r="233" ht="25" customHeight="1" x14ac:dyDescent="0.35"/>
    <row r="234" ht="25" customHeight="1" x14ac:dyDescent="0.35"/>
    <row r="235" ht="25" customHeight="1" x14ac:dyDescent="0.35"/>
    <row r="236" ht="25" customHeight="1" x14ac:dyDescent="0.35"/>
    <row r="237" ht="25" customHeight="1" x14ac:dyDescent="0.35"/>
    <row r="238" ht="25" customHeight="1" x14ac:dyDescent="0.35"/>
    <row r="239" ht="25" customHeight="1" x14ac:dyDescent="0.35"/>
    <row r="240" ht="25" customHeight="1" x14ac:dyDescent="0.35"/>
    <row r="241" ht="25" customHeight="1" x14ac:dyDescent="0.35"/>
    <row r="242" ht="25" customHeight="1" x14ac:dyDescent="0.35"/>
    <row r="243" ht="25" customHeight="1" x14ac:dyDescent="0.35"/>
    <row r="244" ht="25" customHeight="1" x14ac:dyDescent="0.35"/>
    <row r="245" ht="25" customHeight="1" x14ac:dyDescent="0.35"/>
    <row r="246" ht="25" customHeight="1" x14ac:dyDescent="0.35"/>
    <row r="247" ht="25" customHeight="1" x14ac:dyDescent="0.35"/>
    <row r="248" ht="25" customHeight="1" x14ac:dyDescent="0.35"/>
    <row r="249" ht="25" customHeight="1" x14ac:dyDescent="0.35"/>
    <row r="250" ht="25" customHeight="1" x14ac:dyDescent="0.35"/>
    <row r="251" ht="25" customHeight="1" x14ac:dyDescent="0.35"/>
    <row r="252" ht="25" customHeight="1" x14ac:dyDescent="0.35"/>
    <row r="253" ht="25" customHeight="1" x14ac:dyDescent="0.35"/>
    <row r="254" ht="25" customHeight="1" x14ac:dyDescent="0.35"/>
    <row r="255" ht="25" customHeight="1" x14ac:dyDescent="0.35"/>
    <row r="256" ht="25" customHeight="1" x14ac:dyDescent="0.35"/>
    <row r="257" ht="25" customHeight="1" x14ac:dyDescent="0.35"/>
    <row r="258" ht="25" customHeight="1" x14ac:dyDescent="0.35"/>
    <row r="259" ht="25" customHeight="1" x14ac:dyDescent="0.35"/>
    <row r="260" ht="25" customHeight="1" x14ac:dyDescent="0.35"/>
    <row r="261" ht="25" customHeight="1" x14ac:dyDescent="0.35"/>
    <row r="262" ht="25" customHeight="1" x14ac:dyDescent="0.35"/>
    <row r="263" ht="25" customHeight="1" x14ac:dyDescent="0.35"/>
    <row r="264" ht="25" customHeight="1" x14ac:dyDescent="0.35"/>
    <row r="265" ht="25" customHeight="1" x14ac:dyDescent="0.35"/>
    <row r="266" ht="25" customHeight="1" x14ac:dyDescent="0.35"/>
    <row r="267" ht="25" customHeight="1" x14ac:dyDescent="0.35"/>
    <row r="268" ht="25" customHeight="1" x14ac:dyDescent="0.35"/>
    <row r="269" ht="25" customHeight="1" x14ac:dyDescent="0.35"/>
    <row r="270" ht="25" customHeight="1" x14ac:dyDescent="0.35"/>
    <row r="271" ht="25" customHeight="1" x14ac:dyDescent="0.35"/>
    <row r="272" ht="25" customHeight="1" x14ac:dyDescent="0.35"/>
    <row r="273" ht="25" customHeight="1" x14ac:dyDescent="0.35"/>
    <row r="274" ht="25" customHeight="1" x14ac:dyDescent="0.35"/>
    <row r="275" ht="25" customHeight="1" x14ac:dyDescent="0.35"/>
    <row r="276" ht="25" customHeight="1" x14ac:dyDescent="0.35"/>
    <row r="277" ht="25" customHeight="1" x14ac:dyDescent="0.35"/>
    <row r="278" ht="25" customHeight="1" x14ac:dyDescent="0.35"/>
    <row r="279" ht="25" customHeight="1" x14ac:dyDescent="0.35"/>
    <row r="280" ht="25" customHeight="1" x14ac:dyDescent="0.35"/>
    <row r="281" ht="25" customHeight="1" x14ac:dyDescent="0.35"/>
    <row r="282" ht="25" customHeight="1" x14ac:dyDescent="0.35"/>
    <row r="283" ht="25" customHeight="1" x14ac:dyDescent="0.35"/>
    <row r="284" ht="25" customHeight="1" x14ac:dyDescent="0.35"/>
    <row r="285" ht="25" customHeight="1" x14ac:dyDescent="0.35"/>
    <row r="286" ht="25" customHeight="1" x14ac:dyDescent="0.35"/>
    <row r="287" ht="25" customHeight="1" x14ac:dyDescent="0.35"/>
    <row r="288" ht="25" customHeight="1" x14ac:dyDescent="0.35"/>
    <row r="289" ht="25" customHeight="1" x14ac:dyDescent="0.35"/>
    <row r="290" ht="25" customHeight="1" x14ac:dyDescent="0.35"/>
    <row r="291" ht="25" customHeight="1" x14ac:dyDescent="0.35"/>
    <row r="292" ht="25" customHeight="1" x14ac:dyDescent="0.35"/>
    <row r="293" ht="25" customHeight="1" x14ac:dyDescent="0.35"/>
    <row r="294" ht="25" customHeight="1" x14ac:dyDescent="0.35"/>
    <row r="295" ht="25" customHeight="1" x14ac:dyDescent="0.35"/>
    <row r="296" ht="25" customHeight="1" x14ac:dyDescent="0.35"/>
    <row r="297" ht="25" customHeight="1" x14ac:dyDescent="0.35"/>
    <row r="298" ht="25" customHeight="1" x14ac:dyDescent="0.35"/>
    <row r="299" ht="25" customHeight="1" x14ac:dyDescent="0.35"/>
    <row r="300" ht="25" customHeight="1" x14ac:dyDescent="0.35"/>
    <row r="301" ht="25" customHeight="1" x14ac:dyDescent="0.35"/>
    <row r="302" ht="25" customHeight="1" x14ac:dyDescent="0.35"/>
    <row r="303" ht="25" customHeight="1" x14ac:dyDescent="0.35"/>
    <row r="304" ht="25" customHeight="1" x14ac:dyDescent="0.35"/>
    <row r="305" ht="25" customHeight="1" x14ac:dyDescent="0.35"/>
    <row r="306" ht="25" customHeight="1" x14ac:dyDescent="0.35"/>
    <row r="307" ht="25" customHeight="1" x14ac:dyDescent="0.35"/>
    <row r="308" ht="25" customHeight="1" x14ac:dyDescent="0.35"/>
    <row r="309" ht="25" customHeight="1" x14ac:dyDescent="0.35"/>
    <row r="310" ht="25" customHeight="1" x14ac:dyDescent="0.35"/>
    <row r="311" ht="25" customHeight="1" x14ac:dyDescent="0.35"/>
    <row r="312" ht="25" customHeight="1" x14ac:dyDescent="0.35"/>
    <row r="313" ht="25" customHeight="1" x14ac:dyDescent="0.35"/>
    <row r="314" ht="25" customHeight="1" x14ac:dyDescent="0.35"/>
    <row r="315" ht="25" customHeight="1" x14ac:dyDescent="0.35"/>
    <row r="316" ht="25" customHeight="1" x14ac:dyDescent="0.35"/>
    <row r="317" ht="25" customHeight="1" x14ac:dyDescent="0.35"/>
    <row r="318" ht="25" customHeight="1" x14ac:dyDescent="0.35"/>
    <row r="319" ht="25" customHeight="1" x14ac:dyDescent="0.35"/>
    <row r="320" ht="25" customHeight="1" x14ac:dyDescent="0.35"/>
    <row r="321" ht="25" customHeight="1" x14ac:dyDescent="0.35"/>
    <row r="322" ht="25" customHeight="1" x14ac:dyDescent="0.35"/>
    <row r="323" ht="25" customHeight="1" x14ac:dyDescent="0.35"/>
    <row r="324" ht="25" customHeight="1" x14ac:dyDescent="0.35"/>
    <row r="325" ht="25" customHeight="1" x14ac:dyDescent="0.35"/>
    <row r="326" ht="25" customHeight="1" x14ac:dyDescent="0.35"/>
    <row r="327" ht="25" customHeight="1" x14ac:dyDescent="0.35"/>
    <row r="328" ht="25" customHeight="1" x14ac:dyDescent="0.35"/>
    <row r="329" ht="25" customHeight="1" x14ac:dyDescent="0.35"/>
    <row r="330" ht="25" customHeight="1" x14ac:dyDescent="0.35"/>
    <row r="331" ht="25" customHeight="1" x14ac:dyDescent="0.35"/>
    <row r="332" ht="25" customHeight="1" x14ac:dyDescent="0.35"/>
    <row r="333" ht="25" customHeight="1" x14ac:dyDescent="0.35"/>
    <row r="334" ht="25" customHeight="1" x14ac:dyDescent="0.35"/>
    <row r="335" ht="25" customHeight="1" x14ac:dyDescent="0.35"/>
    <row r="336" ht="25" customHeight="1" x14ac:dyDescent="0.35"/>
    <row r="337" ht="25" customHeight="1" x14ac:dyDescent="0.35"/>
    <row r="338" ht="25" customHeight="1" x14ac:dyDescent="0.35"/>
    <row r="339" ht="25" customHeight="1" x14ac:dyDescent="0.35"/>
    <row r="340" ht="25" customHeight="1" x14ac:dyDescent="0.35"/>
    <row r="341" ht="25" customHeight="1" x14ac:dyDescent="0.35"/>
    <row r="342" ht="25" customHeight="1" x14ac:dyDescent="0.35"/>
    <row r="343" ht="25" customHeight="1" x14ac:dyDescent="0.35"/>
    <row r="344" ht="25" customHeight="1" x14ac:dyDescent="0.35"/>
    <row r="345" ht="25" customHeight="1" x14ac:dyDescent="0.35"/>
    <row r="346" ht="25" customHeight="1" x14ac:dyDescent="0.35"/>
    <row r="347" ht="25" customHeight="1" x14ac:dyDescent="0.35"/>
    <row r="348" ht="25" customHeight="1" x14ac:dyDescent="0.35"/>
    <row r="349" ht="25" customHeight="1" x14ac:dyDescent="0.35"/>
    <row r="350" ht="25" customHeight="1" x14ac:dyDescent="0.35"/>
    <row r="351" ht="25" customHeight="1" x14ac:dyDescent="0.35"/>
    <row r="352" ht="25" customHeight="1" x14ac:dyDescent="0.35"/>
    <row r="353" ht="25" customHeight="1" x14ac:dyDescent="0.35"/>
    <row r="354" ht="25" customHeight="1" x14ac:dyDescent="0.35"/>
    <row r="355" ht="25" customHeight="1" x14ac:dyDescent="0.35"/>
    <row r="356" ht="25" customHeight="1" x14ac:dyDescent="0.35"/>
    <row r="357" ht="25" customHeight="1" x14ac:dyDescent="0.35"/>
    <row r="358" ht="25" customHeight="1" x14ac:dyDescent="0.35"/>
    <row r="359" ht="25" customHeight="1" x14ac:dyDescent="0.35"/>
    <row r="360" ht="25" customHeight="1" x14ac:dyDescent="0.35"/>
    <row r="361" ht="25" customHeight="1" x14ac:dyDescent="0.35"/>
    <row r="362" ht="25" customHeight="1" x14ac:dyDescent="0.35"/>
    <row r="363" ht="25" customHeight="1" x14ac:dyDescent="0.35"/>
    <row r="364" ht="25" customHeight="1" x14ac:dyDescent="0.35"/>
    <row r="365" ht="25" customHeight="1" x14ac:dyDescent="0.35"/>
    <row r="366" ht="25" customHeight="1" x14ac:dyDescent="0.35"/>
    <row r="367" ht="25" customHeight="1" x14ac:dyDescent="0.35"/>
    <row r="368" ht="25" customHeight="1" x14ac:dyDescent="0.35"/>
    <row r="369" ht="25" customHeight="1" x14ac:dyDescent="0.35"/>
    <row r="370" ht="25" customHeight="1" x14ac:dyDescent="0.35"/>
    <row r="371" ht="25" customHeight="1" x14ac:dyDescent="0.35"/>
    <row r="372" ht="25" customHeight="1" x14ac:dyDescent="0.35"/>
    <row r="373" ht="25" customHeight="1" x14ac:dyDescent="0.35"/>
    <row r="374" ht="25" customHeight="1" x14ac:dyDescent="0.35"/>
    <row r="375" ht="25" customHeight="1" x14ac:dyDescent="0.35"/>
    <row r="376" ht="25" customHeight="1" x14ac:dyDescent="0.35"/>
    <row r="377" ht="25" customHeight="1" x14ac:dyDescent="0.35"/>
    <row r="378" ht="25" customHeight="1" x14ac:dyDescent="0.35"/>
    <row r="379" ht="25" customHeight="1" x14ac:dyDescent="0.35"/>
    <row r="380" ht="25" customHeight="1" x14ac:dyDescent="0.35"/>
    <row r="381" ht="25" customHeight="1" x14ac:dyDescent="0.35"/>
    <row r="382" ht="25" customHeight="1" x14ac:dyDescent="0.35"/>
    <row r="383" ht="25" customHeight="1" x14ac:dyDescent="0.35"/>
    <row r="384" ht="25" customHeight="1" x14ac:dyDescent="0.35"/>
    <row r="385" ht="25" customHeight="1" x14ac:dyDescent="0.35"/>
    <row r="386" ht="25" customHeight="1" x14ac:dyDescent="0.35"/>
    <row r="387" ht="25" customHeight="1" x14ac:dyDescent="0.35"/>
    <row r="388" ht="25" customHeight="1" x14ac:dyDescent="0.35"/>
    <row r="389" ht="25" customHeight="1" x14ac:dyDescent="0.35"/>
    <row r="390" ht="25" customHeight="1" x14ac:dyDescent="0.35"/>
    <row r="391" ht="25" customHeight="1" x14ac:dyDescent="0.35"/>
    <row r="392" ht="25" customHeight="1" x14ac:dyDescent="0.35"/>
    <row r="393" ht="25" customHeight="1" x14ac:dyDescent="0.35"/>
    <row r="394" ht="25" customHeight="1" x14ac:dyDescent="0.35"/>
    <row r="395" ht="25" customHeight="1" x14ac:dyDescent="0.35"/>
    <row r="396" ht="25" customHeight="1" x14ac:dyDescent="0.35"/>
    <row r="397" ht="25" customHeight="1" x14ac:dyDescent="0.35"/>
    <row r="398" ht="25" customHeight="1" x14ac:dyDescent="0.35"/>
    <row r="399" ht="25" customHeight="1" x14ac:dyDescent="0.35"/>
    <row r="400" ht="25" customHeight="1" x14ac:dyDescent="0.35"/>
    <row r="401" ht="25" customHeight="1" x14ac:dyDescent="0.35"/>
    <row r="402" ht="25" customHeight="1" x14ac:dyDescent="0.35"/>
    <row r="403" ht="25" customHeight="1" x14ac:dyDescent="0.35"/>
    <row r="404" ht="25" customHeight="1" x14ac:dyDescent="0.35"/>
    <row r="405" ht="25" customHeight="1" x14ac:dyDescent="0.35"/>
    <row r="406" ht="25" customHeight="1" x14ac:dyDescent="0.35"/>
    <row r="407" ht="25" customHeight="1" x14ac:dyDescent="0.35"/>
    <row r="408" ht="25" customHeight="1" x14ac:dyDescent="0.35"/>
    <row r="409" ht="25" customHeight="1" x14ac:dyDescent="0.35"/>
    <row r="410" ht="25" customHeight="1" x14ac:dyDescent="0.35"/>
    <row r="411" ht="25" customHeight="1" x14ac:dyDescent="0.35"/>
    <row r="412" ht="25" customHeight="1" x14ac:dyDescent="0.35"/>
    <row r="413" ht="25" customHeight="1" x14ac:dyDescent="0.35"/>
    <row r="414" ht="25" customHeight="1" x14ac:dyDescent="0.35"/>
    <row r="415" ht="25" customHeight="1" x14ac:dyDescent="0.35"/>
    <row r="416" ht="25" customHeight="1" x14ac:dyDescent="0.35"/>
    <row r="417" ht="25" customHeight="1" x14ac:dyDescent="0.35"/>
    <row r="418" ht="25" customHeight="1" x14ac:dyDescent="0.35"/>
    <row r="419" ht="25" customHeight="1" x14ac:dyDescent="0.35"/>
    <row r="420" ht="25" customHeight="1" x14ac:dyDescent="0.35"/>
    <row r="421" ht="25" customHeight="1" x14ac:dyDescent="0.35"/>
    <row r="422" ht="25" customHeight="1" x14ac:dyDescent="0.35"/>
    <row r="423" ht="25" customHeight="1" x14ac:dyDescent="0.35"/>
    <row r="424" ht="25" customHeight="1" x14ac:dyDescent="0.35"/>
    <row r="425" ht="25" customHeight="1" x14ac:dyDescent="0.35"/>
    <row r="426" ht="25" customHeight="1" x14ac:dyDescent="0.35"/>
    <row r="427" ht="25" customHeight="1" x14ac:dyDescent="0.35"/>
    <row r="428" ht="25" customHeight="1" x14ac:dyDescent="0.35"/>
    <row r="429" ht="25" customHeight="1" x14ac:dyDescent="0.35"/>
    <row r="430" ht="25" customHeight="1" x14ac:dyDescent="0.35"/>
    <row r="431" ht="25" customHeight="1" x14ac:dyDescent="0.35"/>
    <row r="432" ht="25" customHeight="1" x14ac:dyDescent="0.35"/>
    <row r="433" ht="25" customHeight="1" x14ac:dyDescent="0.35"/>
    <row r="434" ht="25" customHeight="1" x14ac:dyDescent="0.35"/>
    <row r="435" ht="25" customHeight="1" x14ac:dyDescent="0.35"/>
    <row r="436" ht="25" customHeight="1" x14ac:dyDescent="0.35"/>
    <row r="437" ht="25" customHeight="1" x14ac:dyDescent="0.35"/>
    <row r="438" ht="25" customHeight="1" x14ac:dyDescent="0.35"/>
    <row r="439" ht="25" customHeight="1" x14ac:dyDescent="0.35"/>
    <row r="440" ht="25" customHeight="1" x14ac:dyDescent="0.35"/>
    <row r="441" ht="25" customHeight="1" x14ac:dyDescent="0.35"/>
    <row r="442" ht="25" customHeight="1" x14ac:dyDescent="0.35"/>
    <row r="443" ht="25" customHeight="1" x14ac:dyDescent="0.35"/>
    <row r="444" ht="25" customHeight="1" x14ac:dyDescent="0.35"/>
    <row r="445" ht="25" customHeight="1" x14ac:dyDescent="0.35"/>
    <row r="446" ht="25" customHeight="1" x14ac:dyDescent="0.35"/>
    <row r="447" ht="25" customHeight="1" x14ac:dyDescent="0.35"/>
    <row r="448" ht="25" customHeight="1" x14ac:dyDescent="0.35"/>
    <row r="449" ht="25" customHeight="1" x14ac:dyDescent="0.35"/>
    <row r="450" ht="25" customHeight="1" x14ac:dyDescent="0.35"/>
    <row r="451" ht="25" customHeight="1" x14ac:dyDescent="0.35"/>
    <row r="452" ht="25" customHeight="1" x14ac:dyDescent="0.35"/>
    <row r="453" ht="25" customHeight="1" x14ac:dyDescent="0.35"/>
    <row r="454" ht="25" customHeight="1" x14ac:dyDescent="0.35"/>
    <row r="455" ht="25" customHeight="1" x14ac:dyDescent="0.35"/>
    <row r="456" ht="25" customHeight="1" x14ac:dyDescent="0.35"/>
    <row r="457" ht="25" customHeight="1" x14ac:dyDescent="0.35"/>
    <row r="458" ht="25" customHeight="1" x14ac:dyDescent="0.35"/>
    <row r="459" ht="25" customHeight="1" x14ac:dyDescent="0.35"/>
    <row r="460" ht="25" customHeight="1" x14ac:dyDescent="0.35"/>
    <row r="461" ht="25" customHeight="1" x14ac:dyDescent="0.35"/>
    <row r="462" ht="25" customHeight="1" x14ac:dyDescent="0.35"/>
    <row r="463" ht="25" customHeight="1" x14ac:dyDescent="0.35"/>
    <row r="464" ht="25" customHeight="1" x14ac:dyDescent="0.35"/>
    <row r="465" ht="25" customHeight="1" x14ac:dyDescent="0.35"/>
    <row r="466" ht="25" customHeight="1" x14ac:dyDescent="0.35"/>
    <row r="467" ht="25" customHeight="1" x14ac:dyDescent="0.35"/>
    <row r="468" ht="25" customHeight="1" x14ac:dyDescent="0.35"/>
    <row r="469" ht="25" customHeight="1" x14ac:dyDescent="0.35"/>
    <row r="470" ht="25" customHeight="1" x14ac:dyDescent="0.35"/>
    <row r="471" ht="25" customHeight="1" x14ac:dyDescent="0.35"/>
    <row r="472" ht="25" customHeight="1" x14ac:dyDescent="0.35"/>
    <row r="473" ht="25" customHeight="1" x14ac:dyDescent="0.35"/>
    <row r="474" ht="25" customHeight="1" x14ac:dyDescent="0.35"/>
    <row r="475" ht="25" customHeight="1" x14ac:dyDescent="0.35"/>
    <row r="476" ht="25" customHeight="1" x14ac:dyDescent="0.35"/>
    <row r="477" ht="25" customHeight="1" x14ac:dyDescent="0.35"/>
    <row r="478" ht="25" customHeight="1" x14ac:dyDescent="0.35"/>
    <row r="479" ht="25" customHeight="1" x14ac:dyDescent="0.35"/>
    <row r="480" ht="25" customHeight="1" x14ac:dyDescent="0.35"/>
    <row r="481" ht="25" customHeight="1" x14ac:dyDescent="0.35"/>
    <row r="482" ht="25" customHeight="1" x14ac:dyDescent="0.35"/>
    <row r="483" ht="25" customHeight="1" x14ac:dyDescent="0.35"/>
    <row r="484" ht="25" customHeight="1" x14ac:dyDescent="0.35"/>
    <row r="485" ht="25" customHeight="1" x14ac:dyDescent="0.35"/>
    <row r="486" ht="25" customHeight="1" x14ac:dyDescent="0.35"/>
    <row r="487" ht="25" customHeight="1" x14ac:dyDescent="0.35"/>
    <row r="488" ht="25" customHeight="1" x14ac:dyDescent="0.35"/>
    <row r="489" ht="25" customHeight="1" x14ac:dyDescent="0.35"/>
    <row r="490" ht="25" customHeight="1" x14ac:dyDescent="0.35"/>
    <row r="491" ht="25" customHeight="1" x14ac:dyDescent="0.35"/>
    <row r="492" ht="25" customHeight="1" x14ac:dyDescent="0.35"/>
    <row r="493" ht="25" customHeight="1" x14ac:dyDescent="0.35"/>
    <row r="494" ht="25" customHeight="1" x14ac:dyDescent="0.35"/>
    <row r="495" ht="25" customHeight="1" x14ac:dyDescent="0.35"/>
    <row r="496" ht="25" customHeight="1" x14ac:dyDescent="0.35"/>
    <row r="497" ht="25" customHeight="1" x14ac:dyDescent="0.35"/>
    <row r="498" ht="25" customHeight="1" x14ac:dyDescent="0.35"/>
    <row r="499" ht="25" customHeight="1" x14ac:dyDescent="0.35"/>
    <row r="500" ht="25" customHeight="1" x14ac:dyDescent="0.35"/>
    <row r="501" ht="25" customHeight="1" x14ac:dyDescent="0.35"/>
    <row r="502" ht="25" customHeight="1" x14ac:dyDescent="0.35"/>
    <row r="503" ht="25" customHeight="1" x14ac:dyDescent="0.35"/>
    <row r="504" ht="25" customHeight="1" x14ac:dyDescent="0.35"/>
    <row r="505" ht="25" customHeight="1" x14ac:dyDescent="0.35"/>
    <row r="506" ht="25" customHeight="1" x14ac:dyDescent="0.35"/>
    <row r="507" ht="25" customHeight="1" x14ac:dyDescent="0.35"/>
    <row r="508" ht="25" customHeight="1" x14ac:dyDescent="0.35"/>
    <row r="509" ht="25" customHeight="1" x14ac:dyDescent="0.35"/>
    <row r="510" ht="25" customHeight="1" x14ac:dyDescent="0.35"/>
    <row r="511" ht="25" customHeight="1" x14ac:dyDescent="0.35"/>
    <row r="512" ht="25" customHeight="1" x14ac:dyDescent="0.35"/>
    <row r="513" ht="25" customHeight="1" x14ac:dyDescent="0.35"/>
    <row r="514" ht="25" customHeight="1" x14ac:dyDescent="0.35"/>
    <row r="515" ht="25" customHeight="1" x14ac:dyDescent="0.35"/>
    <row r="516" ht="25" customHeight="1" x14ac:dyDescent="0.35"/>
    <row r="517" ht="25" customHeight="1" x14ac:dyDescent="0.35"/>
    <row r="518" ht="25" customHeight="1" x14ac:dyDescent="0.35"/>
    <row r="519" ht="25" customHeight="1" x14ac:dyDescent="0.35"/>
    <row r="520" ht="25" customHeight="1" x14ac:dyDescent="0.35"/>
    <row r="521" ht="25" customHeight="1" x14ac:dyDescent="0.35"/>
    <row r="522" ht="25" customHeight="1" x14ac:dyDescent="0.35"/>
    <row r="523" ht="25" customHeight="1" x14ac:dyDescent="0.35"/>
    <row r="524" ht="25" customHeight="1" x14ac:dyDescent="0.35"/>
    <row r="525" ht="25" customHeight="1" x14ac:dyDescent="0.35"/>
    <row r="526" ht="25" customHeight="1" x14ac:dyDescent="0.35"/>
    <row r="527" ht="25" customHeight="1" x14ac:dyDescent="0.35"/>
    <row r="528" ht="25" customHeight="1" x14ac:dyDescent="0.35"/>
    <row r="529" ht="25" customHeight="1" x14ac:dyDescent="0.35"/>
    <row r="530" ht="25" customHeight="1" x14ac:dyDescent="0.35"/>
    <row r="531" ht="25" customHeight="1" x14ac:dyDescent="0.35"/>
    <row r="532" ht="25" customHeight="1" x14ac:dyDescent="0.35"/>
    <row r="533" ht="25" customHeight="1" x14ac:dyDescent="0.35"/>
    <row r="534" ht="25" customHeight="1" x14ac:dyDescent="0.35"/>
    <row r="535" ht="25" customHeight="1" x14ac:dyDescent="0.35"/>
    <row r="536" ht="25" customHeight="1" x14ac:dyDescent="0.35"/>
    <row r="537" ht="25" customHeight="1" x14ac:dyDescent="0.35"/>
    <row r="538" ht="25" customHeight="1" x14ac:dyDescent="0.35"/>
    <row r="539" ht="25" customHeight="1" x14ac:dyDescent="0.35"/>
    <row r="540" ht="25" customHeight="1" x14ac:dyDescent="0.35"/>
    <row r="541" ht="25" customHeight="1" x14ac:dyDescent="0.35"/>
    <row r="542" ht="25" customHeight="1" x14ac:dyDescent="0.35"/>
    <row r="543" ht="25" customHeight="1" x14ac:dyDescent="0.35"/>
    <row r="544" ht="25" customHeight="1" x14ac:dyDescent="0.35"/>
    <row r="545" ht="25" customHeight="1" x14ac:dyDescent="0.35"/>
    <row r="546" ht="25" customHeight="1" x14ac:dyDescent="0.35"/>
    <row r="547" ht="25" customHeight="1" x14ac:dyDescent="0.35"/>
    <row r="548" ht="25" customHeight="1" x14ac:dyDescent="0.35"/>
    <row r="549" ht="25" customHeight="1" x14ac:dyDescent="0.35"/>
    <row r="550" ht="25" customHeight="1" x14ac:dyDescent="0.35"/>
    <row r="551" ht="25" customHeight="1" x14ac:dyDescent="0.35"/>
    <row r="552" ht="25" customHeight="1" x14ac:dyDescent="0.35"/>
    <row r="553" ht="25" customHeight="1" x14ac:dyDescent="0.35"/>
    <row r="554" ht="25" customHeight="1" x14ac:dyDescent="0.35"/>
    <row r="555" ht="25" customHeight="1" x14ac:dyDescent="0.35"/>
    <row r="556" ht="25" customHeight="1" x14ac:dyDescent="0.35"/>
    <row r="557" ht="25" customHeight="1" x14ac:dyDescent="0.35"/>
    <row r="558" ht="25" customHeight="1" x14ac:dyDescent="0.35"/>
    <row r="559" ht="25" customHeight="1" x14ac:dyDescent="0.35"/>
    <row r="560" ht="25" customHeight="1" x14ac:dyDescent="0.35"/>
    <row r="561" ht="25" customHeight="1" x14ac:dyDescent="0.35"/>
    <row r="562" ht="25" customHeight="1" x14ac:dyDescent="0.35"/>
    <row r="563" ht="25" customHeight="1" x14ac:dyDescent="0.35"/>
    <row r="564" ht="25" customHeight="1" x14ac:dyDescent="0.35"/>
    <row r="565" ht="25" customHeight="1" x14ac:dyDescent="0.35"/>
    <row r="566" ht="25" customHeight="1" x14ac:dyDescent="0.35"/>
    <row r="567" ht="25" customHeight="1" x14ac:dyDescent="0.35"/>
    <row r="568" ht="25" customHeight="1" x14ac:dyDescent="0.35"/>
    <row r="569" ht="25" customHeight="1" x14ac:dyDescent="0.35"/>
    <row r="570" ht="25" customHeight="1" x14ac:dyDescent="0.35"/>
    <row r="571" ht="25" customHeight="1" x14ac:dyDescent="0.35"/>
    <row r="572" ht="25" customHeight="1" x14ac:dyDescent="0.35"/>
    <row r="573" ht="25" customHeight="1" x14ac:dyDescent="0.35"/>
    <row r="574" ht="25" customHeight="1" x14ac:dyDescent="0.35"/>
    <row r="575" ht="25" customHeight="1" x14ac:dyDescent="0.35"/>
    <row r="576" ht="25" customHeight="1" x14ac:dyDescent="0.35"/>
    <row r="577" ht="25" customHeight="1" x14ac:dyDescent="0.35"/>
    <row r="578" ht="25" customHeight="1" x14ac:dyDescent="0.35"/>
    <row r="579" ht="25" customHeight="1" x14ac:dyDescent="0.35"/>
    <row r="580" ht="25" customHeight="1" x14ac:dyDescent="0.35"/>
    <row r="581" ht="25" customHeight="1" x14ac:dyDescent="0.35"/>
    <row r="582" ht="25" customHeight="1" x14ac:dyDescent="0.35"/>
    <row r="583" ht="25" customHeight="1" x14ac:dyDescent="0.35"/>
    <row r="584" ht="25" customHeight="1" x14ac:dyDescent="0.35"/>
    <row r="585" ht="25" customHeight="1" x14ac:dyDescent="0.35"/>
    <row r="586" ht="25" customHeight="1" x14ac:dyDescent="0.35"/>
    <row r="587" ht="25" customHeight="1" x14ac:dyDescent="0.35"/>
    <row r="588" ht="25" customHeight="1" x14ac:dyDescent="0.35"/>
    <row r="589" ht="25" customHeight="1" x14ac:dyDescent="0.35"/>
    <row r="590" ht="25" customHeight="1" x14ac:dyDescent="0.35"/>
    <row r="591" ht="25" customHeight="1" x14ac:dyDescent="0.35"/>
    <row r="592" ht="25" customHeight="1" x14ac:dyDescent="0.35"/>
    <row r="593" ht="25" customHeight="1" x14ac:dyDescent="0.35"/>
    <row r="594" ht="25" customHeight="1" x14ac:dyDescent="0.35"/>
    <row r="595" ht="25" customHeight="1" x14ac:dyDescent="0.35"/>
    <row r="596" ht="25" customHeight="1" x14ac:dyDescent="0.35"/>
    <row r="597" ht="25" customHeight="1" x14ac:dyDescent="0.35"/>
    <row r="598" ht="25" customHeight="1" x14ac:dyDescent="0.35"/>
    <row r="599" ht="25" customHeight="1" x14ac:dyDescent="0.35"/>
    <row r="600" ht="25" customHeight="1" x14ac:dyDescent="0.35"/>
    <row r="601" ht="25" customHeight="1" x14ac:dyDescent="0.35"/>
    <row r="602" ht="25" customHeight="1" x14ac:dyDescent="0.35"/>
    <row r="603" ht="25" customHeight="1" x14ac:dyDescent="0.35"/>
    <row r="604" ht="25" customHeight="1" x14ac:dyDescent="0.35"/>
    <row r="605" ht="25" customHeight="1" x14ac:dyDescent="0.35"/>
    <row r="606" ht="25" customHeight="1" x14ac:dyDescent="0.35"/>
    <row r="607" ht="25" customHeight="1" x14ac:dyDescent="0.35"/>
    <row r="608" ht="25" customHeight="1" x14ac:dyDescent="0.35"/>
    <row r="609" ht="25" customHeight="1" x14ac:dyDescent="0.35"/>
    <row r="610" ht="25" customHeight="1" x14ac:dyDescent="0.35"/>
    <row r="611" ht="25" customHeight="1" x14ac:dyDescent="0.35"/>
    <row r="612" ht="25" customHeight="1" x14ac:dyDescent="0.35"/>
    <row r="613" ht="25" customHeight="1" x14ac:dyDescent="0.35"/>
    <row r="614" ht="25" customHeight="1" x14ac:dyDescent="0.35"/>
    <row r="615" ht="25" customHeight="1" x14ac:dyDescent="0.35"/>
    <row r="616" ht="25" customHeight="1" x14ac:dyDescent="0.35"/>
    <row r="617" ht="25" customHeight="1" x14ac:dyDescent="0.35"/>
    <row r="618" ht="25" customHeight="1" x14ac:dyDescent="0.35"/>
    <row r="619" ht="25" customHeight="1" x14ac:dyDescent="0.35"/>
    <row r="620" ht="25" customHeight="1" x14ac:dyDescent="0.35"/>
    <row r="621" ht="25" customHeight="1" x14ac:dyDescent="0.35"/>
    <row r="622" ht="25" customHeight="1" x14ac:dyDescent="0.35"/>
    <row r="623" ht="25" customHeight="1" x14ac:dyDescent="0.35"/>
    <row r="624" ht="25" customHeight="1" x14ac:dyDescent="0.35"/>
    <row r="625" ht="25" customHeight="1" x14ac:dyDescent="0.35"/>
    <row r="626" ht="25" customHeight="1" x14ac:dyDescent="0.35"/>
    <row r="627" ht="25" customHeight="1" x14ac:dyDescent="0.35"/>
    <row r="628" ht="25" customHeight="1" x14ac:dyDescent="0.35"/>
    <row r="629" ht="25" customHeight="1" x14ac:dyDescent="0.35"/>
    <row r="630" ht="25" customHeight="1" x14ac:dyDescent="0.35"/>
    <row r="631" ht="25" customHeight="1" x14ac:dyDescent="0.35"/>
    <row r="632" ht="25" customHeight="1" x14ac:dyDescent="0.35"/>
    <row r="633" ht="25" customHeight="1" x14ac:dyDescent="0.35"/>
    <row r="634" ht="25" customHeight="1" x14ac:dyDescent="0.35"/>
    <row r="635" ht="25" customHeight="1" x14ac:dyDescent="0.35"/>
    <row r="636" ht="25" customHeight="1" x14ac:dyDescent="0.35"/>
    <row r="637" ht="25" customHeight="1" x14ac:dyDescent="0.35"/>
    <row r="638" ht="25" customHeight="1" x14ac:dyDescent="0.35"/>
    <row r="639" ht="25" customHeight="1" x14ac:dyDescent="0.35"/>
    <row r="640" ht="25" customHeight="1" x14ac:dyDescent="0.35"/>
    <row r="641" ht="25" customHeight="1" x14ac:dyDescent="0.35"/>
    <row r="642" ht="25" customHeight="1" x14ac:dyDescent="0.35"/>
    <row r="643" ht="25" customHeight="1" x14ac:dyDescent="0.35"/>
    <row r="644" ht="25" customHeight="1" x14ac:dyDescent="0.35"/>
    <row r="645" ht="25" customHeight="1" x14ac:dyDescent="0.35"/>
    <row r="646" ht="25" customHeight="1" x14ac:dyDescent="0.35"/>
    <row r="647" ht="25" customHeight="1" x14ac:dyDescent="0.35"/>
    <row r="648" ht="25" customHeight="1" x14ac:dyDescent="0.35"/>
    <row r="649" ht="25" customHeight="1" x14ac:dyDescent="0.35"/>
    <row r="650" ht="25" customHeight="1" x14ac:dyDescent="0.35"/>
    <row r="651" ht="25" customHeight="1" x14ac:dyDescent="0.35"/>
    <row r="652" ht="25" customHeight="1" x14ac:dyDescent="0.35"/>
    <row r="653" ht="25" customHeight="1" x14ac:dyDescent="0.35"/>
    <row r="654" ht="25" customHeight="1" x14ac:dyDescent="0.35"/>
    <row r="655" ht="25" customHeight="1" x14ac:dyDescent="0.35"/>
    <row r="656" ht="25" customHeight="1" x14ac:dyDescent="0.35"/>
    <row r="657" ht="25" customHeight="1" x14ac:dyDescent="0.35"/>
    <row r="658" ht="25" customHeight="1" x14ac:dyDescent="0.35"/>
    <row r="659" ht="25" customHeight="1" x14ac:dyDescent="0.35"/>
    <row r="660" ht="25" customHeight="1" x14ac:dyDescent="0.35"/>
    <row r="661" ht="25" customHeight="1" x14ac:dyDescent="0.35"/>
    <row r="662" ht="25" customHeight="1" x14ac:dyDescent="0.35"/>
    <row r="663" ht="25" customHeight="1" x14ac:dyDescent="0.35"/>
    <row r="664" ht="25" customHeight="1" x14ac:dyDescent="0.35"/>
    <row r="665" ht="25" customHeight="1" x14ac:dyDescent="0.35"/>
    <row r="666" ht="25" customHeight="1" x14ac:dyDescent="0.35"/>
    <row r="667" ht="25" customHeight="1" x14ac:dyDescent="0.35"/>
    <row r="668" ht="25" customHeight="1" x14ac:dyDescent="0.35"/>
    <row r="669" ht="25" customHeight="1" x14ac:dyDescent="0.35"/>
    <row r="670" ht="25" customHeight="1" x14ac:dyDescent="0.35"/>
    <row r="671" ht="25" customHeight="1" x14ac:dyDescent="0.35"/>
    <row r="672" ht="25" customHeight="1" x14ac:dyDescent="0.35"/>
    <row r="673" ht="25" customHeight="1" x14ac:dyDescent="0.35"/>
    <row r="674" ht="25" customHeight="1" x14ac:dyDescent="0.35"/>
    <row r="675" ht="25" customHeight="1" x14ac:dyDescent="0.35"/>
    <row r="676" ht="25" customHeight="1" x14ac:dyDescent="0.35"/>
    <row r="677" ht="25" customHeight="1" x14ac:dyDescent="0.35"/>
    <row r="678" ht="25" customHeight="1" x14ac:dyDescent="0.35"/>
    <row r="679" ht="25" customHeight="1" x14ac:dyDescent="0.35"/>
    <row r="680" ht="25" customHeight="1" x14ac:dyDescent="0.35"/>
    <row r="681" ht="25" customHeight="1" x14ac:dyDescent="0.35"/>
    <row r="682" ht="25" customHeight="1" x14ac:dyDescent="0.35"/>
    <row r="683" ht="25" customHeight="1" x14ac:dyDescent="0.35"/>
    <row r="684" ht="25" customHeight="1" x14ac:dyDescent="0.35"/>
    <row r="685" ht="25" customHeight="1" x14ac:dyDescent="0.35"/>
    <row r="686" ht="25" customHeight="1" x14ac:dyDescent="0.35"/>
    <row r="687" ht="25" customHeight="1" x14ac:dyDescent="0.35"/>
    <row r="688" ht="25" customHeight="1" x14ac:dyDescent="0.35"/>
    <row r="689" ht="25" customHeight="1" x14ac:dyDescent="0.35"/>
    <row r="690" ht="25" customHeight="1" x14ac:dyDescent="0.35"/>
    <row r="691" ht="25" customHeight="1" x14ac:dyDescent="0.35"/>
    <row r="692" ht="25" customHeight="1" x14ac:dyDescent="0.35"/>
    <row r="693" ht="25" customHeight="1" x14ac:dyDescent="0.35"/>
    <row r="694" ht="25" customHeight="1" x14ac:dyDescent="0.35"/>
    <row r="695" ht="25" customHeight="1" x14ac:dyDescent="0.35"/>
    <row r="696" ht="25" customHeight="1" x14ac:dyDescent="0.35"/>
    <row r="697" ht="25" customHeight="1" x14ac:dyDescent="0.35"/>
    <row r="698" ht="25" customHeight="1" x14ac:dyDescent="0.35"/>
    <row r="699" ht="25" customHeight="1" x14ac:dyDescent="0.35"/>
    <row r="700" ht="25" customHeight="1" x14ac:dyDescent="0.35"/>
    <row r="701" ht="25" customHeight="1" x14ac:dyDescent="0.35"/>
    <row r="702" ht="25" customHeight="1" x14ac:dyDescent="0.35"/>
    <row r="703" ht="25" customHeight="1" x14ac:dyDescent="0.35"/>
    <row r="704" ht="25" customHeight="1" x14ac:dyDescent="0.35"/>
    <row r="705" ht="25" customHeight="1" x14ac:dyDescent="0.35"/>
    <row r="706" ht="25" customHeight="1" x14ac:dyDescent="0.35"/>
    <row r="707" ht="25" customHeight="1" x14ac:dyDescent="0.35"/>
    <row r="708" ht="25" customHeight="1" x14ac:dyDescent="0.35"/>
    <row r="709" ht="25" customHeight="1" x14ac:dyDescent="0.35"/>
    <row r="710" ht="25" customHeight="1" x14ac:dyDescent="0.35"/>
    <row r="711" ht="25" customHeight="1" x14ac:dyDescent="0.35"/>
    <row r="712" ht="25" customHeight="1" x14ac:dyDescent="0.35"/>
    <row r="713" ht="25" customHeight="1" x14ac:dyDescent="0.35"/>
    <row r="714" ht="25" customHeight="1" x14ac:dyDescent="0.35"/>
    <row r="715" ht="25" customHeight="1" x14ac:dyDescent="0.35"/>
    <row r="716" ht="25" customHeight="1" x14ac:dyDescent="0.35"/>
    <row r="717" ht="25" customHeight="1" x14ac:dyDescent="0.35"/>
    <row r="718" ht="25" customHeight="1" x14ac:dyDescent="0.35"/>
    <row r="719" ht="25" customHeight="1" x14ac:dyDescent="0.35"/>
    <row r="720" ht="25" customHeight="1" x14ac:dyDescent="0.35"/>
    <row r="721" ht="25" customHeight="1" x14ac:dyDescent="0.35"/>
    <row r="722" ht="25" customHeight="1" x14ac:dyDescent="0.35"/>
    <row r="723" ht="25" customHeight="1" x14ac:dyDescent="0.35"/>
    <row r="724" ht="25" customHeight="1" x14ac:dyDescent="0.35"/>
    <row r="725" ht="25" customHeight="1" x14ac:dyDescent="0.35"/>
    <row r="726" ht="25" customHeight="1" x14ac:dyDescent="0.35"/>
    <row r="727" ht="25" customHeight="1" x14ac:dyDescent="0.35"/>
    <row r="728" ht="25" customHeight="1" x14ac:dyDescent="0.35"/>
    <row r="729" ht="25" customHeight="1" x14ac:dyDescent="0.35"/>
    <row r="730" ht="25" customHeight="1" x14ac:dyDescent="0.35"/>
    <row r="731" ht="25" customHeight="1" x14ac:dyDescent="0.35"/>
    <row r="732" ht="25" customHeight="1" x14ac:dyDescent="0.35"/>
    <row r="733" ht="25" customHeight="1" x14ac:dyDescent="0.35"/>
    <row r="734" ht="25" customHeight="1" x14ac:dyDescent="0.35"/>
    <row r="735" ht="25" customHeight="1" x14ac:dyDescent="0.35"/>
    <row r="736" ht="25" customHeight="1" x14ac:dyDescent="0.35"/>
    <row r="737" ht="25" customHeight="1" x14ac:dyDescent="0.35"/>
    <row r="738" ht="25" customHeight="1" x14ac:dyDescent="0.35"/>
    <row r="739" ht="25" customHeight="1" x14ac:dyDescent="0.35"/>
    <row r="740" ht="25" customHeight="1" x14ac:dyDescent="0.35"/>
    <row r="741" ht="25" customHeight="1" x14ac:dyDescent="0.35"/>
    <row r="742" ht="25" customHeight="1" x14ac:dyDescent="0.35"/>
    <row r="743" ht="25" customHeight="1" x14ac:dyDescent="0.35"/>
    <row r="744" ht="25" customHeight="1" x14ac:dyDescent="0.35"/>
    <row r="745" ht="25" customHeight="1" x14ac:dyDescent="0.35"/>
    <row r="746" ht="25" customHeight="1" x14ac:dyDescent="0.35"/>
    <row r="747" ht="25" customHeight="1" x14ac:dyDescent="0.35"/>
    <row r="748" ht="25" customHeight="1" x14ac:dyDescent="0.35"/>
    <row r="749" ht="25" customHeight="1" x14ac:dyDescent="0.35"/>
    <row r="750" ht="25" customHeight="1" x14ac:dyDescent="0.35"/>
    <row r="751" ht="25" customHeight="1" x14ac:dyDescent="0.35"/>
    <row r="752" ht="25" customHeight="1" x14ac:dyDescent="0.35"/>
    <row r="753" ht="25" customHeight="1" x14ac:dyDescent="0.35"/>
    <row r="754" ht="25" customHeight="1" x14ac:dyDescent="0.35"/>
    <row r="755" ht="25" customHeight="1" x14ac:dyDescent="0.35"/>
    <row r="756" ht="25" customHeight="1" x14ac:dyDescent="0.35"/>
    <row r="757" ht="25" customHeight="1" x14ac:dyDescent="0.35"/>
    <row r="758" ht="25" customHeight="1" x14ac:dyDescent="0.35"/>
    <row r="759" ht="25" customHeight="1" x14ac:dyDescent="0.35"/>
    <row r="760" ht="25" customHeight="1" x14ac:dyDescent="0.35"/>
    <row r="761" ht="25" customHeight="1" x14ac:dyDescent="0.35"/>
    <row r="762" ht="25" customHeight="1" x14ac:dyDescent="0.35"/>
    <row r="763" ht="25" customHeight="1" x14ac:dyDescent="0.35"/>
    <row r="764" ht="25" customHeight="1" x14ac:dyDescent="0.35"/>
    <row r="765" ht="25" customHeight="1" x14ac:dyDescent="0.35"/>
    <row r="766" ht="25" customHeight="1" x14ac:dyDescent="0.35"/>
    <row r="767" ht="25" customHeight="1" x14ac:dyDescent="0.35"/>
    <row r="768" ht="25" customHeight="1" x14ac:dyDescent="0.35"/>
    <row r="769" ht="25" customHeight="1" x14ac:dyDescent="0.35"/>
    <row r="770" ht="25" customHeight="1" x14ac:dyDescent="0.35"/>
    <row r="771" ht="25" customHeight="1" x14ac:dyDescent="0.35"/>
    <row r="772" ht="25" customHeight="1" x14ac:dyDescent="0.35"/>
    <row r="773" ht="25" customHeight="1" x14ac:dyDescent="0.35"/>
    <row r="774" ht="25" customHeight="1" x14ac:dyDescent="0.35"/>
    <row r="775" ht="25" customHeight="1" x14ac:dyDescent="0.35"/>
    <row r="776" ht="25" customHeight="1" x14ac:dyDescent="0.35"/>
    <row r="777" ht="25" customHeight="1" x14ac:dyDescent="0.35"/>
    <row r="778" ht="25" customHeight="1" x14ac:dyDescent="0.35"/>
    <row r="779" ht="25" customHeight="1" x14ac:dyDescent="0.35"/>
    <row r="780" ht="25" customHeight="1" x14ac:dyDescent="0.35"/>
    <row r="781" ht="25" customHeight="1" x14ac:dyDescent="0.35"/>
    <row r="782" ht="25" customHeight="1" x14ac:dyDescent="0.35"/>
    <row r="783" ht="25" customHeight="1" x14ac:dyDescent="0.35"/>
  </sheetData>
  <sheetProtection algorithmName="SHA-512" hashValue="5oblFyCqCfWw6HdUfnu1fYRf3+i9sXiromkPNg0o3dlhJ0rm1NQhjJvWN9GePGVyl2SwZYcrttGNE4Fo9YkTmw==" saltValue="pycGmkvNNeTAYgm7bjTIAA==" spinCount="100000" sheet="1" objects="1" scenarios="1" selectLockedCells="1"/>
  <mergeCells count="6">
    <mergeCell ref="B1:H1"/>
    <mergeCell ref="B2:D2"/>
    <mergeCell ref="E2:G5"/>
    <mergeCell ref="B3:D3"/>
    <mergeCell ref="B4:D4"/>
    <mergeCell ref="B5:D5"/>
  </mergeCells>
  <conditionalFormatting sqref="F7:F79">
    <cfRule type="containsText" dxfId="23" priority="1" operator="containsText" text="ERROR">
      <formula>NOT(ISERROR(SEARCH("ERROR",F7)))</formula>
    </cfRule>
  </conditionalFormatting>
  <conditionalFormatting sqref="G7:G79">
    <cfRule type="containsText" dxfId="22" priority="4" operator="containsText" text="worked">
      <formula>NOT(ISERROR(SEARCH("worked",G7)))</formula>
    </cfRule>
  </conditionalFormatting>
  <conditionalFormatting sqref="H7:H79">
    <cfRule type="cellIs" dxfId="21" priority="2" operator="greaterThan">
      <formula>2</formula>
    </cfRule>
    <cfRule type="cellIs" dxfId="20" priority="3" operator="lessThan">
      <formula>0</formula>
    </cfRule>
  </conditionalFormatting>
  <dataValidations count="3">
    <dataValidation type="whole" operator="lessThan" allowBlank="1" showInputMessage="1" showErrorMessage="1" sqref="B3:D3" xr:uid="{4617EFEF-53D0-471D-9872-FF88BE6C8B88}">
      <formula1>999999999</formula1>
    </dataValidation>
    <dataValidation type="time" operator="lessThan" allowBlank="1" showInputMessage="1" showErrorMessage="1" sqref="D7:E79" xr:uid="{E6B4C7D4-C624-4A1E-942D-DDB012B88F7F}">
      <formula1>0.999988425925926</formula1>
    </dataValidation>
    <dataValidation type="decimal" errorStyle="warning" allowBlank="1" showInputMessage="1" showErrorMessage="1" errorTitle="BadInterval" error="The Duration of the Micro-Activity in INVALID_x000a_" sqref="H7" xr:uid="{CCA53D97-9D97-4C55-8D61-F3E5D27ED4C5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B91A64A1-0044-437C-B5D6-907F2EA1120B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FC82-0C8C-469C-9368-447D766B3689}">
  <dimension ref="A1:I783"/>
  <sheetViews>
    <sheetView tabSelected="1" topLeftCell="B1" zoomScale="55" zoomScaleNormal="55" workbookViewId="0">
      <selection activeCell="G8" sqref="G8"/>
    </sheetView>
  </sheetViews>
  <sheetFormatPr defaultRowHeight="14.5" x14ac:dyDescent="0.35"/>
  <cols>
    <col min="1" max="1" width="37.26953125" customWidth="1"/>
    <col min="2" max="2" width="15.7265625" customWidth="1"/>
    <col min="3" max="3" width="15.7265625" style="2" customWidth="1"/>
    <col min="4" max="5" width="15.7265625" style="7" customWidth="1"/>
    <col min="6" max="6" width="15.7265625" customWidth="1"/>
    <col min="7" max="7" width="189.54296875" customWidth="1"/>
    <col min="8" max="8" width="15.7265625" customWidth="1"/>
    <col min="9" max="9" width="26" customWidth="1"/>
    <col min="10" max="33" width="15.7265625" customWidth="1"/>
  </cols>
  <sheetData>
    <row r="1" spans="1:9" ht="94.15" customHeight="1" thickBot="1" x14ac:dyDescent="0.4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5" customHeight="1" x14ac:dyDescent="0.35">
      <c r="A2" s="33" t="s">
        <v>6</v>
      </c>
      <c r="B2" s="46" t="s">
        <v>27</v>
      </c>
      <c r="C2" s="47"/>
      <c r="D2" s="48"/>
      <c r="E2" s="49" t="s">
        <v>21</v>
      </c>
      <c r="F2" s="50"/>
      <c r="G2" s="50"/>
    </row>
    <row r="3" spans="1:9" ht="25" customHeight="1" x14ac:dyDescent="0.35">
      <c r="A3" s="33" t="s">
        <v>5</v>
      </c>
      <c r="B3" s="55">
        <v>301578293</v>
      </c>
      <c r="C3" s="56"/>
      <c r="D3" s="57"/>
      <c r="E3" s="51"/>
      <c r="F3" s="52"/>
      <c r="G3" s="52"/>
    </row>
    <row r="4" spans="1:9" ht="25" customHeight="1" thickBot="1" x14ac:dyDescent="0.4">
      <c r="A4" s="33" t="s">
        <v>4</v>
      </c>
      <c r="B4" s="58" t="s">
        <v>26</v>
      </c>
      <c r="C4" s="59"/>
      <c r="D4" s="60"/>
      <c r="E4" s="51"/>
      <c r="F4" s="52"/>
      <c r="G4" s="52"/>
    </row>
    <row r="5" spans="1:9" ht="59.5" customHeight="1" thickBot="1" x14ac:dyDescent="0.4">
      <c r="A5" s="34" t="s">
        <v>11</v>
      </c>
      <c r="B5" s="61">
        <v>0.33</v>
      </c>
      <c r="C5" s="59"/>
      <c r="D5" s="60"/>
      <c r="E5" s="53"/>
      <c r="F5" s="54"/>
      <c r="G5" s="54"/>
    </row>
    <row r="6" spans="1:9" s="1" customFormat="1" ht="25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35">
      <c r="A7" s="30"/>
      <c r="B7" s="12">
        <v>8293</v>
      </c>
      <c r="C7" s="18"/>
      <c r="D7" s="19">
        <v>0.75</v>
      </c>
      <c r="E7" s="20">
        <v>0.81944444444444442</v>
      </c>
      <c r="F7" s="40" t="str">
        <f>IF(AND(NOT(ISBLANK($D7)),NOT(ISBLANK($E7)),OR($H7&lt;0,$H7&gt;2)),"ERROR","")</f>
        <v/>
      </c>
      <c r="G7" s="15" t="s">
        <v>31</v>
      </c>
      <c r="H7" s="11">
        <f>IF(E7&gt;=D7, E7-D7, 1-D7+E7)*24</f>
        <v>1.6666666666666661</v>
      </c>
      <c r="I7" s="9"/>
    </row>
    <row r="8" spans="1:9" ht="25" customHeight="1" x14ac:dyDescent="0.45">
      <c r="A8" s="31"/>
      <c r="B8" s="13">
        <v>8293</v>
      </c>
      <c r="C8" s="21"/>
      <c r="D8" s="19">
        <v>0.875</v>
      </c>
      <c r="E8" s="22">
        <v>0.9375</v>
      </c>
      <c r="F8" s="41" t="str">
        <f t="shared" ref="F8:F71" si="0">IF(AND(NOT(ISBLANK($D8)),NOT(ISBLANK($E8)),OR($H8&lt;0,$H8&gt;2)),"ERROR","")</f>
        <v/>
      </c>
      <c r="G8" s="16" t="s">
        <v>32</v>
      </c>
      <c r="H8" s="26">
        <f t="shared" ref="H8:H71" si="1">IF(E8&gt;=D8, E8-D8, 1-D8+E8)*24</f>
        <v>1.5</v>
      </c>
    </row>
    <row r="9" spans="1:9" ht="25" customHeight="1" x14ac:dyDescent="0.45">
      <c r="A9" s="31"/>
      <c r="B9" s="13">
        <v>8293</v>
      </c>
      <c r="C9" s="21"/>
      <c r="D9" s="19">
        <v>0.95833333333333337</v>
      </c>
      <c r="E9" s="22">
        <v>0.98611111111111116</v>
      </c>
      <c r="F9" s="41" t="str">
        <f t="shared" si="0"/>
        <v/>
      </c>
      <c r="G9" s="16" t="s">
        <v>30</v>
      </c>
      <c r="H9" s="26">
        <f t="shared" si="1"/>
        <v>0.66666666666666696</v>
      </c>
    </row>
    <row r="10" spans="1:9" ht="25" customHeight="1" x14ac:dyDescent="0.4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5" customHeight="1" x14ac:dyDescent="0.4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5" customHeight="1" x14ac:dyDescent="0.4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5" customHeight="1" x14ac:dyDescent="0.4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5" customHeight="1" x14ac:dyDescent="0.4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5" customHeight="1" x14ac:dyDescent="0.4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5" customHeight="1" x14ac:dyDescent="0.4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5" customHeight="1" x14ac:dyDescent="0.4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5" customHeight="1" x14ac:dyDescent="0.4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5" customHeight="1" x14ac:dyDescent="0.4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5" customHeight="1" x14ac:dyDescent="0.4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5" customHeight="1" x14ac:dyDescent="0.4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5" customHeight="1" x14ac:dyDescent="0.4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5" customHeight="1" x14ac:dyDescent="0.4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5" customHeight="1" x14ac:dyDescent="0.4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5" customHeight="1" x14ac:dyDescent="0.4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5" customHeight="1" x14ac:dyDescent="0.4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5" customHeight="1" x14ac:dyDescent="0.4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5" customHeight="1" x14ac:dyDescent="0.4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5" customHeight="1" x14ac:dyDescent="0.4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5" customHeight="1" x14ac:dyDescent="0.4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5" customHeight="1" x14ac:dyDescent="0.4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5" customHeight="1" x14ac:dyDescent="0.4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5" customHeight="1" x14ac:dyDescent="0.4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5" customHeight="1" x14ac:dyDescent="0.4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5" customHeight="1" x14ac:dyDescent="0.4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5" customHeight="1" x14ac:dyDescent="0.4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5" customHeight="1" x14ac:dyDescent="0.4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5" customHeight="1" x14ac:dyDescent="0.4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5" customHeight="1" x14ac:dyDescent="0.4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5" customHeight="1" x14ac:dyDescent="0.4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5" customHeight="1" x14ac:dyDescent="0.4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5" customHeight="1" x14ac:dyDescent="0.4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5" customHeight="1" x14ac:dyDescent="0.4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5" customHeight="1" x14ac:dyDescent="0.4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5" customHeight="1" x14ac:dyDescent="0.4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5" customHeight="1" x14ac:dyDescent="0.4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5" customHeight="1" x14ac:dyDescent="0.4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5" customHeight="1" x14ac:dyDescent="0.4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5" customHeight="1" x14ac:dyDescent="0.4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5" customHeight="1" x14ac:dyDescent="0.4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5" customHeight="1" x14ac:dyDescent="0.4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5" customHeight="1" x14ac:dyDescent="0.4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5" customHeight="1" x14ac:dyDescent="0.4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5" customHeight="1" x14ac:dyDescent="0.4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5" customHeight="1" x14ac:dyDescent="0.4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5" customHeight="1" x14ac:dyDescent="0.4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5" customHeight="1" x14ac:dyDescent="0.4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5" customHeight="1" x14ac:dyDescent="0.4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5" customHeight="1" x14ac:dyDescent="0.4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5" customHeight="1" x14ac:dyDescent="0.4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5" customHeight="1" x14ac:dyDescent="0.4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5" customHeight="1" x14ac:dyDescent="0.4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5" customHeight="1" x14ac:dyDescent="0.4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5" customHeight="1" x14ac:dyDescent="0.4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5" customHeight="1" x14ac:dyDescent="0.4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5" customHeight="1" x14ac:dyDescent="0.4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5" customHeight="1" x14ac:dyDescent="0.4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5" customHeight="1" x14ac:dyDescent="0.4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5" customHeight="1" x14ac:dyDescent="0.4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5" customHeight="1" x14ac:dyDescent="0.4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5" customHeight="1" x14ac:dyDescent="0.4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5" customHeight="1" x14ac:dyDescent="0.4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5" customHeight="1" x14ac:dyDescent="0.4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5" customHeight="1" x14ac:dyDescent="0.4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5" customHeight="1" x14ac:dyDescent="0.4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5" customHeight="1" x14ac:dyDescent="0.4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5" customHeight="1" x14ac:dyDescent="0.4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5" customHeight="1" x14ac:dyDescent="0.4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5" customHeight="1" thickBot="1" x14ac:dyDescent="0.5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5" customHeight="1" x14ac:dyDescent="0.45">
      <c r="F80" s="29"/>
      <c r="H80" s="28">
        <f>SUM(H7:H79)</f>
        <v>3.833333333333333</v>
      </c>
    </row>
    <row r="81" ht="25" customHeight="1" x14ac:dyDescent="0.35"/>
    <row r="82" ht="25" customHeight="1" x14ac:dyDescent="0.35"/>
    <row r="83" ht="25" customHeight="1" x14ac:dyDescent="0.35"/>
    <row r="84" ht="25" customHeight="1" x14ac:dyDescent="0.35"/>
    <row r="85" ht="25" customHeight="1" x14ac:dyDescent="0.35"/>
    <row r="86" ht="25" customHeight="1" x14ac:dyDescent="0.35"/>
    <row r="87" ht="25" customHeight="1" x14ac:dyDescent="0.35"/>
    <row r="88" ht="25" customHeight="1" x14ac:dyDescent="0.35"/>
    <row r="89" ht="25" customHeight="1" x14ac:dyDescent="0.35"/>
    <row r="90" ht="25" customHeight="1" x14ac:dyDescent="0.35"/>
    <row r="91" ht="25" customHeight="1" x14ac:dyDescent="0.35"/>
    <row r="92" ht="25" customHeight="1" x14ac:dyDescent="0.35"/>
    <row r="93" ht="25" customHeight="1" x14ac:dyDescent="0.35"/>
    <row r="94" ht="25" customHeight="1" x14ac:dyDescent="0.35"/>
    <row r="95" ht="25" customHeight="1" x14ac:dyDescent="0.35"/>
    <row r="96" ht="25" customHeight="1" x14ac:dyDescent="0.35"/>
    <row r="97" ht="25" customHeight="1" x14ac:dyDescent="0.35"/>
    <row r="98" ht="25" customHeight="1" x14ac:dyDescent="0.35"/>
    <row r="99" ht="25" customHeight="1" x14ac:dyDescent="0.35"/>
    <row r="100" ht="25" customHeight="1" x14ac:dyDescent="0.35"/>
    <row r="101" ht="25" customHeight="1" x14ac:dyDescent="0.35"/>
    <row r="102" ht="25" customHeight="1" x14ac:dyDescent="0.35"/>
    <row r="103" ht="25" customHeight="1" x14ac:dyDescent="0.35"/>
    <row r="104" ht="25" customHeight="1" x14ac:dyDescent="0.35"/>
    <row r="105" ht="25" customHeight="1" x14ac:dyDescent="0.35"/>
    <row r="106" ht="25" customHeight="1" x14ac:dyDescent="0.35"/>
    <row r="107" ht="25" customHeight="1" x14ac:dyDescent="0.35"/>
    <row r="108" ht="25" customHeight="1" x14ac:dyDescent="0.35"/>
    <row r="109" ht="25" customHeight="1" x14ac:dyDescent="0.35"/>
    <row r="110" ht="25" customHeight="1" x14ac:dyDescent="0.35"/>
    <row r="111" ht="25" customHeight="1" x14ac:dyDescent="0.35"/>
    <row r="112" ht="25" customHeight="1" x14ac:dyDescent="0.35"/>
    <row r="113" ht="25" customHeight="1" x14ac:dyDescent="0.35"/>
    <row r="114" ht="25" customHeight="1" x14ac:dyDescent="0.35"/>
    <row r="115" ht="25" customHeight="1" x14ac:dyDescent="0.35"/>
    <row r="116" ht="25" customHeight="1" x14ac:dyDescent="0.35"/>
    <row r="117" ht="25" customHeight="1" x14ac:dyDescent="0.35"/>
    <row r="118" ht="25" customHeight="1" x14ac:dyDescent="0.35"/>
    <row r="119" ht="25" customHeight="1" x14ac:dyDescent="0.35"/>
    <row r="120" ht="25" customHeight="1" x14ac:dyDescent="0.35"/>
    <row r="121" ht="25" customHeight="1" x14ac:dyDescent="0.35"/>
    <row r="122" ht="25" customHeight="1" x14ac:dyDescent="0.35"/>
    <row r="123" ht="25" customHeight="1" x14ac:dyDescent="0.35"/>
    <row r="124" ht="25" customHeight="1" x14ac:dyDescent="0.35"/>
    <row r="125" ht="25" customHeight="1" x14ac:dyDescent="0.35"/>
    <row r="126" ht="25" customHeight="1" x14ac:dyDescent="0.35"/>
    <row r="127" ht="25" customHeight="1" x14ac:dyDescent="0.35"/>
    <row r="128" ht="25" customHeight="1" x14ac:dyDescent="0.35"/>
    <row r="129" ht="25" customHeight="1" x14ac:dyDescent="0.35"/>
    <row r="130" ht="25" customHeight="1" x14ac:dyDescent="0.35"/>
    <row r="131" ht="25" customHeight="1" x14ac:dyDescent="0.35"/>
    <row r="132" ht="25" customHeight="1" x14ac:dyDescent="0.35"/>
    <row r="133" ht="25" customHeight="1" x14ac:dyDescent="0.35"/>
    <row r="134" ht="25" customHeight="1" x14ac:dyDescent="0.35"/>
    <row r="135" ht="25" customHeight="1" x14ac:dyDescent="0.35"/>
    <row r="136" ht="25" customHeight="1" x14ac:dyDescent="0.35"/>
    <row r="137" ht="25" customHeight="1" x14ac:dyDescent="0.35"/>
    <row r="138" ht="25" customHeight="1" x14ac:dyDescent="0.35"/>
    <row r="139" ht="25" customHeight="1" x14ac:dyDescent="0.35"/>
    <row r="140" ht="25" customHeight="1" x14ac:dyDescent="0.35"/>
    <row r="141" ht="25" customHeight="1" x14ac:dyDescent="0.35"/>
    <row r="142" ht="25" customHeight="1" x14ac:dyDescent="0.35"/>
    <row r="143" ht="25" customHeight="1" x14ac:dyDescent="0.35"/>
    <row r="144" ht="25" customHeight="1" x14ac:dyDescent="0.35"/>
    <row r="145" ht="25" customHeight="1" x14ac:dyDescent="0.35"/>
    <row r="146" ht="25" customHeight="1" x14ac:dyDescent="0.35"/>
    <row r="147" ht="25" customHeight="1" x14ac:dyDescent="0.35"/>
    <row r="148" ht="25" customHeight="1" x14ac:dyDescent="0.35"/>
    <row r="149" ht="25" customHeight="1" x14ac:dyDescent="0.35"/>
    <row r="150" ht="25" customHeight="1" x14ac:dyDescent="0.35"/>
    <row r="151" ht="25" customHeight="1" x14ac:dyDescent="0.35"/>
    <row r="152" ht="25" customHeight="1" x14ac:dyDescent="0.35"/>
    <row r="153" ht="25" customHeight="1" x14ac:dyDescent="0.35"/>
    <row r="154" ht="25" customHeight="1" x14ac:dyDescent="0.35"/>
    <row r="155" ht="25" customHeight="1" x14ac:dyDescent="0.35"/>
    <row r="156" ht="25" customHeight="1" x14ac:dyDescent="0.35"/>
    <row r="157" ht="25" customHeight="1" x14ac:dyDescent="0.35"/>
    <row r="158" ht="25" customHeight="1" x14ac:dyDescent="0.35"/>
    <row r="159" ht="25" customHeight="1" x14ac:dyDescent="0.35"/>
    <row r="160" ht="25" customHeight="1" x14ac:dyDescent="0.35"/>
    <row r="161" ht="25" customHeight="1" x14ac:dyDescent="0.35"/>
    <row r="162" ht="25" customHeight="1" x14ac:dyDescent="0.35"/>
    <row r="163" ht="25" customHeight="1" x14ac:dyDescent="0.35"/>
    <row r="164" ht="25" customHeight="1" x14ac:dyDescent="0.35"/>
    <row r="165" ht="25" customHeight="1" x14ac:dyDescent="0.35"/>
    <row r="166" ht="25" customHeight="1" x14ac:dyDescent="0.35"/>
    <row r="167" ht="25" customHeight="1" x14ac:dyDescent="0.35"/>
    <row r="168" ht="25" customHeight="1" x14ac:dyDescent="0.35"/>
    <row r="169" ht="25" customHeight="1" x14ac:dyDescent="0.35"/>
    <row r="170" ht="25" customHeight="1" x14ac:dyDescent="0.35"/>
    <row r="171" ht="25" customHeight="1" x14ac:dyDescent="0.35"/>
    <row r="172" ht="25" customHeight="1" x14ac:dyDescent="0.35"/>
    <row r="173" ht="25" customHeight="1" x14ac:dyDescent="0.35"/>
    <row r="174" ht="25" customHeight="1" x14ac:dyDescent="0.35"/>
    <row r="175" ht="25" customHeight="1" x14ac:dyDescent="0.35"/>
    <row r="176" ht="25" customHeight="1" x14ac:dyDescent="0.35"/>
    <row r="177" ht="25" customHeight="1" x14ac:dyDescent="0.35"/>
    <row r="178" ht="25" customHeight="1" x14ac:dyDescent="0.35"/>
    <row r="179" ht="25" customHeight="1" x14ac:dyDescent="0.35"/>
    <row r="180" ht="25" customHeight="1" x14ac:dyDescent="0.35"/>
    <row r="181" ht="25" customHeight="1" x14ac:dyDescent="0.35"/>
    <row r="182" ht="25" customHeight="1" x14ac:dyDescent="0.35"/>
    <row r="183" ht="25" customHeight="1" x14ac:dyDescent="0.35"/>
    <row r="184" ht="25" customHeight="1" x14ac:dyDescent="0.35"/>
    <row r="185" ht="25" customHeight="1" x14ac:dyDescent="0.35"/>
    <row r="186" ht="25" customHeight="1" x14ac:dyDescent="0.35"/>
    <row r="187" ht="25" customHeight="1" x14ac:dyDescent="0.35"/>
    <row r="188" ht="25" customHeight="1" x14ac:dyDescent="0.35"/>
    <row r="189" ht="25" customHeight="1" x14ac:dyDescent="0.35"/>
    <row r="190" ht="25" customHeight="1" x14ac:dyDescent="0.35"/>
    <row r="191" ht="25" customHeight="1" x14ac:dyDescent="0.35"/>
    <row r="192" ht="25" customHeight="1" x14ac:dyDescent="0.35"/>
    <row r="193" ht="25" customHeight="1" x14ac:dyDescent="0.35"/>
    <row r="194" ht="25" customHeight="1" x14ac:dyDescent="0.35"/>
    <row r="195" ht="25" customHeight="1" x14ac:dyDescent="0.35"/>
    <row r="196" ht="25" customHeight="1" x14ac:dyDescent="0.35"/>
    <row r="197" ht="25" customHeight="1" x14ac:dyDescent="0.35"/>
    <row r="198" ht="25" customHeight="1" x14ac:dyDescent="0.35"/>
    <row r="199" ht="25" customHeight="1" x14ac:dyDescent="0.35"/>
    <row r="200" ht="25" customHeight="1" x14ac:dyDescent="0.35"/>
    <row r="201" ht="25" customHeight="1" x14ac:dyDescent="0.35"/>
    <row r="202" ht="25" customHeight="1" x14ac:dyDescent="0.35"/>
    <row r="203" ht="25" customHeight="1" x14ac:dyDescent="0.35"/>
    <row r="204" ht="25" customHeight="1" x14ac:dyDescent="0.35"/>
    <row r="205" ht="25" customHeight="1" x14ac:dyDescent="0.35"/>
    <row r="206" ht="25" customHeight="1" x14ac:dyDescent="0.35"/>
    <row r="207" ht="25" customHeight="1" x14ac:dyDescent="0.35"/>
    <row r="208" ht="25" customHeight="1" x14ac:dyDescent="0.35"/>
    <row r="209" ht="25" customHeight="1" x14ac:dyDescent="0.35"/>
    <row r="210" ht="25" customHeight="1" x14ac:dyDescent="0.35"/>
    <row r="211" ht="25" customHeight="1" x14ac:dyDescent="0.35"/>
    <row r="212" ht="25" customHeight="1" x14ac:dyDescent="0.35"/>
    <row r="213" ht="25" customHeight="1" x14ac:dyDescent="0.35"/>
    <row r="214" ht="25" customHeight="1" x14ac:dyDescent="0.35"/>
    <row r="215" ht="25" customHeight="1" x14ac:dyDescent="0.35"/>
    <row r="216" ht="25" customHeight="1" x14ac:dyDescent="0.35"/>
    <row r="217" ht="25" customHeight="1" x14ac:dyDescent="0.35"/>
    <row r="218" ht="25" customHeight="1" x14ac:dyDescent="0.35"/>
    <row r="219" ht="25" customHeight="1" x14ac:dyDescent="0.35"/>
    <row r="220" ht="25" customHeight="1" x14ac:dyDescent="0.35"/>
    <row r="221" ht="25" customHeight="1" x14ac:dyDescent="0.35"/>
    <row r="222" ht="25" customHeight="1" x14ac:dyDescent="0.35"/>
    <row r="223" ht="25" customHeight="1" x14ac:dyDescent="0.35"/>
    <row r="224" ht="25" customHeight="1" x14ac:dyDescent="0.35"/>
    <row r="225" ht="25" customHeight="1" x14ac:dyDescent="0.35"/>
    <row r="226" ht="25" customHeight="1" x14ac:dyDescent="0.35"/>
    <row r="227" ht="25" customHeight="1" x14ac:dyDescent="0.35"/>
    <row r="228" ht="25" customHeight="1" x14ac:dyDescent="0.35"/>
    <row r="229" ht="25" customHeight="1" x14ac:dyDescent="0.35"/>
    <row r="230" ht="25" customHeight="1" x14ac:dyDescent="0.35"/>
    <row r="231" ht="25" customHeight="1" x14ac:dyDescent="0.35"/>
    <row r="232" ht="25" customHeight="1" x14ac:dyDescent="0.35"/>
    <row r="233" ht="25" customHeight="1" x14ac:dyDescent="0.35"/>
    <row r="234" ht="25" customHeight="1" x14ac:dyDescent="0.35"/>
    <row r="235" ht="25" customHeight="1" x14ac:dyDescent="0.35"/>
    <row r="236" ht="25" customHeight="1" x14ac:dyDescent="0.35"/>
    <row r="237" ht="25" customHeight="1" x14ac:dyDescent="0.35"/>
    <row r="238" ht="25" customHeight="1" x14ac:dyDescent="0.35"/>
    <row r="239" ht="25" customHeight="1" x14ac:dyDescent="0.35"/>
    <row r="240" ht="25" customHeight="1" x14ac:dyDescent="0.35"/>
    <row r="241" ht="25" customHeight="1" x14ac:dyDescent="0.35"/>
    <row r="242" ht="25" customHeight="1" x14ac:dyDescent="0.35"/>
    <row r="243" ht="25" customHeight="1" x14ac:dyDescent="0.35"/>
    <row r="244" ht="25" customHeight="1" x14ac:dyDescent="0.35"/>
    <row r="245" ht="25" customHeight="1" x14ac:dyDescent="0.35"/>
    <row r="246" ht="25" customHeight="1" x14ac:dyDescent="0.35"/>
    <row r="247" ht="25" customHeight="1" x14ac:dyDescent="0.35"/>
    <row r="248" ht="25" customHeight="1" x14ac:dyDescent="0.35"/>
    <row r="249" ht="25" customHeight="1" x14ac:dyDescent="0.35"/>
    <row r="250" ht="25" customHeight="1" x14ac:dyDescent="0.35"/>
    <row r="251" ht="25" customHeight="1" x14ac:dyDescent="0.35"/>
    <row r="252" ht="25" customHeight="1" x14ac:dyDescent="0.35"/>
    <row r="253" ht="25" customHeight="1" x14ac:dyDescent="0.35"/>
    <row r="254" ht="25" customHeight="1" x14ac:dyDescent="0.35"/>
    <row r="255" ht="25" customHeight="1" x14ac:dyDescent="0.35"/>
    <row r="256" ht="25" customHeight="1" x14ac:dyDescent="0.35"/>
    <row r="257" ht="25" customHeight="1" x14ac:dyDescent="0.35"/>
    <row r="258" ht="25" customHeight="1" x14ac:dyDescent="0.35"/>
    <row r="259" ht="25" customHeight="1" x14ac:dyDescent="0.35"/>
    <row r="260" ht="25" customHeight="1" x14ac:dyDescent="0.35"/>
    <row r="261" ht="25" customHeight="1" x14ac:dyDescent="0.35"/>
    <row r="262" ht="25" customHeight="1" x14ac:dyDescent="0.35"/>
    <row r="263" ht="25" customHeight="1" x14ac:dyDescent="0.35"/>
    <row r="264" ht="25" customHeight="1" x14ac:dyDescent="0.35"/>
    <row r="265" ht="25" customHeight="1" x14ac:dyDescent="0.35"/>
    <row r="266" ht="25" customHeight="1" x14ac:dyDescent="0.35"/>
    <row r="267" ht="25" customHeight="1" x14ac:dyDescent="0.35"/>
    <row r="268" ht="25" customHeight="1" x14ac:dyDescent="0.35"/>
    <row r="269" ht="25" customHeight="1" x14ac:dyDescent="0.35"/>
    <row r="270" ht="25" customHeight="1" x14ac:dyDescent="0.35"/>
    <row r="271" ht="25" customHeight="1" x14ac:dyDescent="0.35"/>
    <row r="272" ht="25" customHeight="1" x14ac:dyDescent="0.35"/>
    <row r="273" ht="25" customHeight="1" x14ac:dyDescent="0.35"/>
    <row r="274" ht="25" customHeight="1" x14ac:dyDescent="0.35"/>
    <row r="275" ht="25" customHeight="1" x14ac:dyDescent="0.35"/>
    <row r="276" ht="25" customHeight="1" x14ac:dyDescent="0.35"/>
    <row r="277" ht="25" customHeight="1" x14ac:dyDescent="0.35"/>
    <row r="278" ht="25" customHeight="1" x14ac:dyDescent="0.35"/>
    <row r="279" ht="25" customHeight="1" x14ac:dyDescent="0.35"/>
    <row r="280" ht="25" customHeight="1" x14ac:dyDescent="0.35"/>
    <row r="281" ht="25" customHeight="1" x14ac:dyDescent="0.35"/>
    <row r="282" ht="25" customHeight="1" x14ac:dyDescent="0.35"/>
    <row r="283" ht="25" customHeight="1" x14ac:dyDescent="0.35"/>
    <row r="284" ht="25" customHeight="1" x14ac:dyDescent="0.35"/>
    <row r="285" ht="25" customHeight="1" x14ac:dyDescent="0.35"/>
    <row r="286" ht="25" customHeight="1" x14ac:dyDescent="0.35"/>
    <row r="287" ht="25" customHeight="1" x14ac:dyDescent="0.35"/>
    <row r="288" ht="25" customHeight="1" x14ac:dyDescent="0.35"/>
    <row r="289" ht="25" customHeight="1" x14ac:dyDescent="0.35"/>
    <row r="290" ht="25" customHeight="1" x14ac:dyDescent="0.35"/>
    <row r="291" ht="25" customHeight="1" x14ac:dyDescent="0.35"/>
    <row r="292" ht="25" customHeight="1" x14ac:dyDescent="0.35"/>
    <row r="293" ht="25" customHeight="1" x14ac:dyDescent="0.35"/>
    <row r="294" ht="25" customHeight="1" x14ac:dyDescent="0.35"/>
    <row r="295" ht="25" customHeight="1" x14ac:dyDescent="0.35"/>
    <row r="296" ht="25" customHeight="1" x14ac:dyDescent="0.35"/>
    <row r="297" ht="25" customHeight="1" x14ac:dyDescent="0.35"/>
    <row r="298" ht="25" customHeight="1" x14ac:dyDescent="0.35"/>
    <row r="299" ht="25" customHeight="1" x14ac:dyDescent="0.35"/>
    <row r="300" ht="25" customHeight="1" x14ac:dyDescent="0.35"/>
    <row r="301" ht="25" customHeight="1" x14ac:dyDescent="0.35"/>
    <row r="302" ht="25" customHeight="1" x14ac:dyDescent="0.35"/>
    <row r="303" ht="25" customHeight="1" x14ac:dyDescent="0.35"/>
    <row r="304" ht="25" customHeight="1" x14ac:dyDescent="0.35"/>
    <row r="305" ht="25" customHeight="1" x14ac:dyDescent="0.35"/>
    <row r="306" ht="25" customHeight="1" x14ac:dyDescent="0.35"/>
    <row r="307" ht="25" customHeight="1" x14ac:dyDescent="0.35"/>
    <row r="308" ht="25" customHeight="1" x14ac:dyDescent="0.35"/>
    <row r="309" ht="25" customHeight="1" x14ac:dyDescent="0.35"/>
    <row r="310" ht="25" customHeight="1" x14ac:dyDescent="0.35"/>
    <row r="311" ht="25" customHeight="1" x14ac:dyDescent="0.35"/>
    <row r="312" ht="25" customHeight="1" x14ac:dyDescent="0.35"/>
    <row r="313" ht="25" customHeight="1" x14ac:dyDescent="0.35"/>
    <row r="314" ht="25" customHeight="1" x14ac:dyDescent="0.35"/>
    <row r="315" ht="25" customHeight="1" x14ac:dyDescent="0.35"/>
    <row r="316" ht="25" customHeight="1" x14ac:dyDescent="0.35"/>
    <row r="317" ht="25" customHeight="1" x14ac:dyDescent="0.35"/>
    <row r="318" ht="25" customHeight="1" x14ac:dyDescent="0.35"/>
    <row r="319" ht="25" customHeight="1" x14ac:dyDescent="0.35"/>
    <row r="320" ht="25" customHeight="1" x14ac:dyDescent="0.35"/>
    <row r="321" ht="25" customHeight="1" x14ac:dyDescent="0.35"/>
    <row r="322" ht="25" customHeight="1" x14ac:dyDescent="0.35"/>
    <row r="323" ht="25" customHeight="1" x14ac:dyDescent="0.35"/>
    <row r="324" ht="25" customHeight="1" x14ac:dyDescent="0.35"/>
    <row r="325" ht="25" customHeight="1" x14ac:dyDescent="0.35"/>
    <row r="326" ht="25" customHeight="1" x14ac:dyDescent="0.35"/>
    <row r="327" ht="25" customHeight="1" x14ac:dyDescent="0.35"/>
    <row r="328" ht="25" customHeight="1" x14ac:dyDescent="0.35"/>
    <row r="329" ht="25" customHeight="1" x14ac:dyDescent="0.35"/>
    <row r="330" ht="25" customHeight="1" x14ac:dyDescent="0.35"/>
    <row r="331" ht="25" customHeight="1" x14ac:dyDescent="0.35"/>
    <row r="332" ht="25" customHeight="1" x14ac:dyDescent="0.35"/>
    <row r="333" ht="25" customHeight="1" x14ac:dyDescent="0.35"/>
    <row r="334" ht="25" customHeight="1" x14ac:dyDescent="0.35"/>
    <row r="335" ht="25" customHeight="1" x14ac:dyDescent="0.35"/>
    <row r="336" ht="25" customHeight="1" x14ac:dyDescent="0.35"/>
    <row r="337" ht="25" customHeight="1" x14ac:dyDescent="0.35"/>
    <row r="338" ht="25" customHeight="1" x14ac:dyDescent="0.35"/>
    <row r="339" ht="25" customHeight="1" x14ac:dyDescent="0.35"/>
    <row r="340" ht="25" customHeight="1" x14ac:dyDescent="0.35"/>
    <row r="341" ht="25" customHeight="1" x14ac:dyDescent="0.35"/>
    <row r="342" ht="25" customHeight="1" x14ac:dyDescent="0.35"/>
    <row r="343" ht="25" customHeight="1" x14ac:dyDescent="0.35"/>
    <row r="344" ht="25" customHeight="1" x14ac:dyDescent="0.35"/>
    <row r="345" ht="25" customHeight="1" x14ac:dyDescent="0.35"/>
    <row r="346" ht="25" customHeight="1" x14ac:dyDescent="0.35"/>
    <row r="347" ht="25" customHeight="1" x14ac:dyDescent="0.35"/>
    <row r="348" ht="25" customHeight="1" x14ac:dyDescent="0.35"/>
    <row r="349" ht="25" customHeight="1" x14ac:dyDescent="0.35"/>
    <row r="350" ht="25" customHeight="1" x14ac:dyDescent="0.35"/>
    <row r="351" ht="25" customHeight="1" x14ac:dyDescent="0.35"/>
    <row r="352" ht="25" customHeight="1" x14ac:dyDescent="0.35"/>
    <row r="353" ht="25" customHeight="1" x14ac:dyDescent="0.35"/>
    <row r="354" ht="25" customHeight="1" x14ac:dyDescent="0.35"/>
    <row r="355" ht="25" customHeight="1" x14ac:dyDescent="0.35"/>
    <row r="356" ht="25" customHeight="1" x14ac:dyDescent="0.35"/>
    <row r="357" ht="25" customHeight="1" x14ac:dyDescent="0.35"/>
    <row r="358" ht="25" customHeight="1" x14ac:dyDescent="0.35"/>
    <row r="359" ht="25" customHeight="1" x14ac:dyDescent="0.35"/>
    <row r="360" ht="25" customHeight="1" x14ac:dyDescent="0.35"/>
    <row r="361" ht="25" customHeight="1" x14ac:dyDescent="0.35"/>
    <row r="362" ht="25" customHeight="1" x14ac:dyDescent="0.35"/>
    <row r="363" ht="25" customHeight="1" x14ac:dyDescent="0.35"/>
    <row r="364" ht="25" customHeight="1" x14ac:dyDescent="0.35"/>
    <row r="365" ht="25" customHeight="1" x14ac:dyDescent="0.35"/>
    <row r="366" ht="25" customHeight="1" x14ac:dyDescent="0.35"/>
    <row r="367" ht="25" customHeight="1" x14ac:dyDescent="0.35"/>
    <row r="368" ht="25" customHeight="1" x14ac:dyDescent="0.35"/>
    <row r="369" ht="25" customHeight="1" x14ac:dyDescent="0.35"/>
    <row r="370" ht="25" customHeight="1" x14ac:dyDescent="0.35"/>
    <row r="371" ht="25" customHeight="1" x14ac:dyDescent="0.35"/>
    <row r="372" ht="25" customHeight="1" x14ac:dyDescent="0.35"/>
    <row r="373" ht="25" customHeight="1" x14ac:dyDescent="0.35"/>
    <row r="374" ht="25" customHeight="1" x14ac:dyDescent="0.35"/>
    <row r="375" ht="25" customHeight="1" x14ac:dyDescent="0.35"/>
    <row r="376" ht="25" customHeight="1" x14ac:dyDescent="0.35"/>
    <row r="377" ht="25" customHeight="1" x14ac:dyDescent="0.35"/>
    <row r="378" ht="25" customHeight="1" x14ac:dyDescent="0.35"/>
    <row r="379" ht="25" customHeight="1" x14ac:dyDescent="0.35"/>
    <row r="380" ht="25" customHeight="1" x14ac:dyDescent="0.35"/>
    <row r="381" ht="25" customHeight="1" x14ac:dyDescent="0.35"/>
    <row r="382" ht="25" customHeight="1" x14ac:dyDescent="0.35"/>
    <row r="383" ht="25" customHeight="1" x14ac:dyDescent="0.35"/>
    <row r="384" ht="25" customHeight="1" x14ac:dyDescent="0.35"/>
    <row r="385" ht="25" customHeight="1" x14ac:dyDescent="0.35"/>
    <row r="386" ht="25" customHeight="1" x14ac:dyDescent="0.35"/>
    <row r="387" ht="25" customHeight="1" x14ac:dyDescent="0.35"/>
    <row r="388" ht="25" customHeight="1" x14ac:dyDescent="0.35"/>
    <row r="389" ht="25" customHeight="1" x14ac:dyDescent="0.35"/>
    <row r="390" ht="25" customHeight="1" x14ac:dyDescent="0.35"/>
    <row r="391" ht="25" customHeight="1" x14ac:dyDescent="0.35"/>
    <row r="392" ht="25" customHeight="1" x14ac:dyDescent="0.35"/>
    <row r="393" ht="25" customHeight="1" x14ac:dyDescent="0.35"/>
    <row r="394" ht="25" customHeight="1" x14ac:dyDescent="0.35"/>
    <row r="395" ht="25" customHeight="1" x14ac:dyDescent="0.35"/>
    <row r="396" ht="25" customHeight="1" x14ac:dyDescent="0.35"/>
    <row r="397" ht="25" customHeight="1" x14ac:dyDescent="0.35"/>
    <row r="398" ht="25" customHeight="1" x14ac:dyDescent="0.35"/>
    <row r="399" ht="25" customHeight="1" x14ac:dyDescent="0.35"/>
    <row r="400" ht="25" customHeight="1" x14ac:dyDescent="0.35"/>
    <row r="401" ht="25" customHeight="1" x14ac:dyDescent="0.35"/>
    <row r="402" ht="25" customHeight="1" x14ac:dyDescent="0.35"/>
    <row r="403" ht="25" customHeight="1" x14ac:dyDescent="0.35"/>
    <row r="404" ht="25" customHeight="1" x14ac:dyDescent="0.35"/>
    <row r="405" ht="25" customHeight="1" x14ac:dyDescent="0.35"/>
    <row r="406" ht="25" customHeight="1" x14ac:dyDescent="0.35"/>
    <row r="407" ht="25" customHeight="1" x14ac:dyDescent="0.35"/>
    <row r="408" ht="25" customHeight="1" x14ac:dyDescent="0.35"/>
    <row r="409" ht="25" customHeight="1" x14ac:dyDescent="0.35"/>
    <row r="410" ht="25" customHeight="1" x14ac:dyDescent="0.35"/>
    <row r="411" ht="25" customHeight="1" x14ac:dyDescent="0.35"/>
    <row r="412" ht="25" customHeight="1" x14ac:dyDescent="0.35"/>
    <row r="413" ht="25" customHeight="1" x14ac:dyDescent="0.35"/>
    <row r="414" ht="25" customHeight="1" x14ac:dyDescent="0.35"/>
    <row r="415" ht="25" customHeight="1" x14ac:dyDescent="0.35"/>
    <row r="416" ht="25" customHeight="1" x14ac:dyDescent="0.35"/>
    <row r="417" ht="25" customHeight="1" x14ac:dyDescent="0.35"/>
    <row r="418" ht="25" customHeight="1" x14ac:dyDescent="0.35"/>
    <row r="419" ht="25" customHeight="1" x14ac:dyDescent="0.35"/>
    <row r="420" ht="25" customHeight="1" x14ac:dyDescent="0.35"/>
    <row r="421" ht="25" customHeight="1" x14ac:dyDescent="0.35"/>
    <row r="422" ht="25" customHeight="1" x14ac:dyDescent="0.35"/>
    <row r="423" ht="25" customHeight="1" x14ac:dyDescent="0.35"/>
    <row r="424" ht="25" customHeight="1" x14ac:dyDescent="0.35"/>
    <row r="425" ht="25" customHeight="1" x14ac:dyDescent="0.35"/>
    <row r="426" ht="25" customHeight="1" x14ac:dyDescent="0.35"/>
    <row r="427" ht="25" customHeight="1" x14ac:dyDescent="0.35"/>
    <row r="428" ht="25" customHeight="1" x14ac:dyDescent="0.35"/>
    <row r="429" ht="25" customHeight="1" x14ac:dyDescent="0.35"/>
    <row r="430" ht="25" customHeight="1" x14ac:dyDescent="0.35"/>
    <row r="431" ht="25" customHeight="1" x14ac:dyDescent="0.35"/>
    <row r="432" ht="25" customHeight="1" x14ac:dyDescent="0.35"/>
    <row r="433" ht="25" customHeight="1" x14ac:dyDescent="0.35"/>
    <row r="434" ht="25" customHeight="1" x14ac:dyDescent="0.35"/>
    <row r="435" ht="25" customHeight="1" x14ac:dyDescent="0.35"/>
    <row r="436" ht="25" customHeight="1" x14ac:dyDescent="0.35"/>
    <row r="437" ht="25" customHeight="1" x14ac:dyDescent="0.35"/>
    <row r="438" ht="25" customHeight="1" x14ac:dyDescent="0.35"/>
    <row r="439" ht="25" customHeight="1" x14ac:dyDescent="0.35"/>
    <row r="440" ht="25" customHeight="1" x14ac:dyDescent="0.35"/>
    <row r="441" ht="25" customHeight="1" x14ac:dyDescent="0.35"/>
    <row r="442" ht="25" customHeight="1" x14ac:dyDescent="0.35"/>
    <row r="443" ht="25" customHeight="1" x14ac:dyDescent="0.35"/>
    <row r="444" ht="25" customHeight="1" x14ac:dyDescent="0.35"/>
    <row r="445" ht="25" customHeight="1" x14ac:dyDescent="0.35"/>
    <row r="446" ht="25" customHeight="1" x14ac:dyDescent="0.35"/>
    <row r="447" ht="25" customHeight="1" x14ac:dyDescent="0.35"/>
    <row r="448" ht="25" customHeight="1" x14ac:dyDescent="0.35"/>
    <row r="449" ht="25" customHeight="1" x14ac:dyDescent="0.35"/>
    <row r="450" ht="25" customHeight="1" x14ac:dyDescent="0.35"/>
    <row r="451" ht="25" customHeight="1" x14ac:dyDescent="0.35"/>
    <row r="452" ht="25" customHeight="1" x14ac:dyDescent="0.35"/>
    <row r="453" ht="25" customHeight="1" x14ac:dyDescent="0.35"/>
    <row r="454" ht="25" customHeight="1" x14ac:dyDescent="0.35"/>
    <row r="455" ht="25" customHeight="1" x14ac:dyDescent="0.35"/>
    <row r="456" ht="25" customHeight="1" x14ac:dyDescent="0.35"/>
    <row r="457" ht="25" customHeight="1" x14ac:dyDescent="0.35"/>
    <row r="458" ht="25" customHeight="1" x14ac:dyDescent="0.35"/>
    <row r="459" ht="25" customHeight="1" x14ac:dyDescent="0.35"/>
    <row r="460" ht="25" customHeight="1" x14ac:dyDescent="0.35"/>
    <row r="461" ht="25" customHeight="1" x14ac:dyDescent="0.35"/>
    <row r="462" ht="25" customHeight="1" x14ac:dyDescent="0.35"/>
    <row r="463" ht="25" customHeight="1" x14ac:dyDescent="0.35"/>
    <row r="464" ht="25" customHeight="1" x14ac:dyDescent="0.35"/>
    <row r="465" ht="25" customHeight="1" x14ac:dyDescent="0.35"/>
    <row r="466" ht="25" customHeight="1" x14ac:dyDescent="0.35"/>
    <row r="467" ht="25" customHeight="1" x14ac:dyDescent="0.35"/>
    <row r="468" ht="25" customHeight="1" x14ac:dyDescent="0.35"/>
    <row r="469" ht="25" customHeight="1" x14ac:dyDescent="0.35"/>
    <row r="470" ht="25" customHeight="1" x14ac:dyDescent="0.35"/>
    <row r="471" ht="25" customHeight="1" x14ac:dyDescent="0.35"/>
    <row r="472" ht="25" customHeight="1" x14ac:dyDescent="0.35"/>
    <row r="473" ht="25" customHeight="1" x14ac:dyDescent="0.35"/>
    <row r="474" ht="25" customHeight="1" x14ac:dyDescent="0.35"/>
    <row r="475" ht="25" customHeight="1" x14ac:dyDescent="0.35"/>
    <row r="476" ht="25" customHeight="1" x14ac:dyDescent="0.35"/>
    <row r="477" ht="25" customHeight="1" x14ac:dyDescent="0.35"/>
    <row r="478" ht="25" customHeight="1" x14ac:dyDescent="0.35"/>
    <row r="479" ht="25" customHeight="1" x14ac:dyDescent="0.35"/>
    <row r="480" ht="25" customHeight="1" x14ac:dyDescent="0.35"/>
    <row r="481" ht="25" customHeight="1" x14ac:dyDescent="0.35"/>
    <row r="482" ht="25" customHeight="1" x14ac:dyDescent="0.35"/>
    <row r="483" ht="25" customHeight="1" x14ac:dyDescent="0.35"/>
    <row r="484" ht="25" customHeight="1" x14ac:dyDescent="0.35"/>
    <row r="485" ht="25" customHeight="1" x14ac:dyDescent="0.35"/>
    <row r="486" ht="25" customHeight="1" x14ac:dyDescent="0.35"/>
    <row r="487" ht="25" customHeight="1" x14ac:dyDescent="0.35"/>
    <row r="488" ht="25" customHeight="1" x14ac:dyDescent="0.35"/>
    <row r="489" ht="25" customHeight="1" x14ac:dyDescent="0.35"/>
    <row r="490" ht="25" customHeight="1" x14ac:dyDescent="0.35"/>
    <row r="491" ht="25" customHeight="1" x14ac:dyDescent="0.35"/>
    <row r="492" ht="25" customHeight="1" x14ac:dyDescent="0.35"/>
    <row r="493" ht="25" customHeight="1" x14ac:dyDescent="0.35"/>
    <row r="494" ht="25" customHeight="1" x14ac:dyDescent="0.35"/>
    <row r="495" ht="25" customHeight="1" x14ac:dyDescent="0.35"/>
    <row r="496" ht="25" customHeight="1" x14ac:dyDescent="0.35"/>
    <row r="497" ht="25" customHeight="1" x14ac:dyDescent="0.35"/>
    <row r="498" ht="25" customHeight="1" x14ac:dyDescent="0.35"/>
    <row r="499" ht="25" customHeight="1" x14ac:dyDescent="0.35"/>
    <row r="500" ht="25" customHeight="1" x14ac:dyDescent="0.35"/>
    <row r="501" ht="25" customHeight="1" x14ac:dyDescent="0.35"/>
    <row r="502" ht="25" customHeight="1" x14ac:dyDescent="0.35"/>
    <row r="503" ht="25" customHeight="1" x14ac:dyDescent="0.35"/>
    <row r="504" ht="25" customHeight="1" x14ac:dyDescent="0.35"/>
    <row r="505" ht="25" customHeight="1" x14ac:dyDescent="0.35"/>
    <row r="506" ht="25" customHeight="1" x14ac:dyDescent="0.35"/>
    <row r="507" ht="25" customHeight="1" x14ac:dyDescent="0.35"/>
    <row r="508" ht="25" customHeight="1" x14ac:dyDescent="0.35"/>
    <row r="509" ht="25" customHeight="1" x14ac:dyDescent="0.35"/>
    <row r="510" ht="25" customHeight="1" x14ac:dyDescent="0.35"/>
    <row r="511" ht="25" customHeight="1" x14ac:dyDescent="0.35"/>
    <row r="512" ht="25" customHeight="1" x14ac:dyDescent="0.35"/>
    <row r="513" ht="25" customHeight="1" x14ac:dyDescent="0.35"/>
    <row r="514" ht="25" customHeight="1" x14ac:dyDescent="0.35"/>
    <row r="515" ht="25" customHeight="1" x14ac:dyDescent="0.35"/>
    <row r="516" ht="25" customHeight="1" x14ac:dyDescent="0.35"/>
    <row r="517" ht="25" customHeight="1" x14ac:dyDescent="0.35"/>
    <row r="518" ht="25" customHeight="1" x14ac:dyDescent="0.35"/>
    <row r="519" ht="25" customHeight="1" x14ac:dyDescent="0.35"/>
    <row r="520" ht="25" customHeight="1" x14ac:dyDescent="0.35"/>
    <row r="521" ht="25" customHeight="1" x14ac:dyDescent="0.35"/>
    <row r="522" ht="25" customHeight="1" x14ac:dyDescent="0.35"/>
    <row r="523" ht="25" customHeight="1" x14ac:dyDescent="0.35"/>
    <row r="524" ht="25" customHeight="1" x14ac:dyDescent="0.35"/>
    <row r="525" ht="25" customHeight="1" x14ac:dyDescent="0.35"/>
    <row r="526" ht="25" customHeight="1" x14ac:dyDescent="0.35"/>
    <row r="527" ht="25" customHeight="1" x14ac:dyDescent="0.35"/>
    <row r="528" ht="25" customHeight="1" x14ac:dyDescent="0.35"/>
    <row r="529" ht="25" customHeight="1" x14ac:dyDescent="0.35"/>
    <row r="530" ht="25" customHeight="1" x14ac:dyDescent="0.35"/>
    <row r="531" ht="25" customHeight="1" x14ac:dyDescent="0.35"/>
    <row r="532" ht="25" customHeight="1" x14ac:dyDescent="0.35"/>
    <row r="533" ht="25" customHeight="1" x14ac:dyDescent="0.35"/>
    <row r="534" ht="25" customHeight="1" x14ac:dyDescent="0.35"/>
    <row r="535" ht="25" customHeight="1" x14ac:dyDescent="0.35"/>
    <row r="536" ht="25" customHeight="1" x14ac:dyDescent="0.35"/>
    <row r="537" ht="25" customHeight="1" x14ac:dyDescent="0.35"/>
    <row r="538" ht="25" customHeight="1" x14ac:dyDescent="0.35"/>
    <row r="539" ht="25" customHeight="1" x14ac:dyDescent="0.35"/>
    <row r="540" ht="25" customHeight="1" x14ac:dyDescent="0.35"/>
    <row r="541" ht="25" customHeight="1" x14ac:dyDescent="0.35"/>
    <row r="542" ht="25" customHeight="1" x14ac:dyDescent="0.35"/>
    <row r="543" ht="25" customHeight="1" x14ac:dyDescent="0.35"/>
    <row r="544" ht="25" customHeight="1" x14ac:dyDescent="0.35"/>
    <row r="545" ht="25" customHeight="1" x14ac:dyDescent="0.35"/>
    <row r="546" ht="25" customHeight="1" x14ac:dyDescent="0.35"/>
    <row r="547" ht="25" customHeight="1" x14ac:dyDescent="0.35"/>
    <row r="548" ht="25" customHeight="1" x14ac:dyDescent="0.35"/>
    <row r="549" ht="25" customHeight="1" x14ac:dyDescent="0.35"/>
    <row r="550" ht="25" customHeight="1" x14ac:dyDescent="0.35"/>
    <row r="551" ht="25" customHeight="1" x14ac:dyDescent="0.35"/>
    <row r="552" ht="25" customHeight="1" x14ac:dyDescent="0.35"/>
    <row r="553" ht="25" customHeight="1" x14ac:dyDescent="0.35"/>
    <row r="554" ht="25" customHeight="1" x14ac:dyDescent="0.35"/>
    <row r="555" ht="25" customHeight="1" x14ac:dyDescent="0.35"/>
    <row r="556" ht="25" customHeight="1" x14ac:dyDescent="0.35"/>
    <row r="557" ht="25" customHeight="1" x14ac:dyDescent="0.35"/>
    <row r="558" ht="25" customHeight="1" x14ac:dyDescent="0.35"/>
    <row r="559" ht="25" customHeight="1" x14ac:dyDescent="0.35"/>
    <row r="560" ht="25" customHeight="1" x14ac:dyDescent="0.35"/>
    <row r="561" ht="25" customHeight="1" x14ac:dyDescent="0.35"/>
    <row r="562" ht="25" customHeight="1" x14ac:dyDescent="0.35"/>
    <row r="563" ht="25" customHeight="1" x14ac:dyDescent="0.35"/>
    <row r="564" ht="25" customHeight="1" x14ac:dyDescent="0.35"/>
    <row r="565" ht="25" customHeight="1" x14ac:dyDescent="0.35"/>
    <row r="566" ht="25" customHeight="1" x14ac:dyDescent="0.35"/>
    <row r="567" ht="25" customHeight="1" x14ac:dyDescent="0.35"/>
    <row r="568" ht="25" customHeight="1" x14ac:dyDescent="0.35"/>
    <row r="569" ht="25" customHeight="1" x14ac:dyDescent="0.35"/>
    <row r="570" ht="25" customHeight="1" x14ac:dyDescent="0.35"/>
    <row r="571" ht="25" customHeight="1" x14ac:dyDescent="0.35"/>
    <row r="572" ht="25" customHeight="1" x14ac:dyDescent="0.35"/>
    <row r="573" ht="25" customHeight="1" x14ac:dyDescent="0.35"/>
    <row r="574" ht="25" customHeight="1" x14ac:dyDescent="0.35"/>
    <row r="575" ht="25" customHeight="1" x14ac:dyDescent="0.35"/>
    <row r="576" ht="25" customHeight="1" x14ac:dyDescent="0.35"/>
    <row r="577" ht="25" customHeight="1" x14ac:dyDescent="0.35"/>
    <row r="578" ht="25" customHeight="1" x14ac:dyDescent="0.35"/>
    <row r="579" ht="25" customHeight="1" x14ac:dyDescent="0.35"/>
    <row r="580" ht="25" customHeight="1" x14ac:dyDescent="0.35"/>
    <row r="581" ht="25" customHeight="1" x14ac:dyDescent="0.35"/>
    <row r="582" ht="25" customHeight="1" x14ac:dyDescent="0.35"/>
    <row r="583" ht="25" customHeight="1" x14ac:dyDescent="0.35"/>
    <row r="584" ht="25" customHeight="1" x14ac:dyDescent="0.35"/>
    <row r="585" ht="25" customHeight="1" x14ac:dyDescent="0.35"/>
    <row r="586" ht="25" customHeight="1" x14ac:dyDescent="0.35"/>
    <row r="587" ht="25" customHeight="1" x14ac:dyDescent="0.35"/>
    <row r="588" ht="25" customHeight="1" x14ac:dyDescent="0.35"/>
    <row r="589" ht="25" customHeight="1" x14ac:dyDescent="0.35"/>
    <row r="590" ht="25" customHeight="1" x14ac:dyDescent="0.35"/>
    <row r="591" ht="25" customHeight="1" x14ac:dyDescent="0.35"/>
    <row r="592" ht="25" customHeight="1" x14ac:dyDescent="0.35"/>
    <row r="593" ht="25" customHeight="1" x14ac:dyDescent="0.35"/>
    <row r="594" ht="25" customHeight="1" x14ac:dyDescent="0.35"/>
    <row r="595" ht="25" customHeight="1" x14ac:dyDescent="0.35"/>
    <row r="596" ht="25" customHeight="1" x14ac:dyDescent="0.35"/>
    <row r="597" ht="25" customHeight="1" x14ac:dyDescent="0.35"/>
    <row r="598" ht="25" customHeight="1" x14ac:dyDescent="0.35"/>
    <row r="599" ht="25" customHeight="1" x14ac:dyDescent="0.35"/>
    <row r="600" ht="25" customHeight="1" x14ac:dyDescent="0.35"/>
    <row r="601" ht="25" customHeight="1" x14ac:dyDescent="0.35"/>
    <row r="602" ht="25" customHeight="1" x14ac:dyDescent="0.35"/>
    <row r="603" ht="25" customHeight="1" x14ac:dyDescent="0.35"/>
    <row r="604" ht="25" customHeight="1" x14ac:dyDescent="0.35"/>
    <row r="605" ht="25" customHeight="1" x14ac:dyDescent="0.35"/>
    <row r="606" ht="25" customHeight="1" x14ac:dyDescent="0.35"/>
    <row r="607" ht="25" customHeight="1" x14ac:dyDescent="0.35"/>
    <row r="608" ht="25" customHeight="1" x14ac:dyDescent="0.35"/>
    <row r="609" ht="25" customHeight="1" x14ac:dyDescent="0.35"/>
    <row r="610" ht="25" customHeight="1" x14ac:dyDescent="0.35"/>
    <row r="611" ht="25" customHeight="1" x14ac:dyDescent="0.35"/>
    <row r="612" ht="25" customHeight="1" x14ac:dyDescent="0.35"/>
    <row r="613" ht="25" customHeight="1" x14ac:dyDescent="0.35"/>
    <row r="614" ht="25" customHeight="1" x14ac:dyDescent="0.35"/>
    <row r="615" ht="25" customHeight="1" x14ac:dyDescent="0.35"/>
    <row r="616" ht="25" customHeight="1" x14ac:dyDescent="0.35"/>
    <row r="617" ht="25" customHeight="1" x14ac:dyDescent="0.35"/>
    <row r="618" ht="25" customHeight="1" x14ac:dyDescent="0.35"/>
    <row r="619" ht="25" customHeight="1" x14ac:dyDescent="0.35"/>
    <row r="620" ht="25" customHeight="1" x14ac:dyDescent="0.35"/>
    <row r="621" ht="25" customHeight="1" x14ac:dyDescent="0.35"/>
    <row r="622" ht="25" customHeight="1" x14ac:dyDescent="0.35"/>
    <row r="623" ht="25" customHeight="1" x14ac:dyDescent="0.35"/>
    <row r="624" ht="25" customHeight="1" x14ac:dyDescent="0.35"/>
    <row r="625" ht="25" customHeight="1" x14ac:dyDescent="0.35"/>
    <row r="626" ht="25" customHeight="1" x14ac:dyDescent="0.35"/>
    <row r="627" ht="25" customHeight="1" x14ac:dyDescent="0.35"/>
    <row r="628" ht="25" customHeight="1" x14ac:dyDescent="0.35"/>
    <row r="629" ht="25" customHeight="1" x14ac:dyDescent="0.35"/>
    <row r="630" ht="25" customHeight="1" x14ac:dyDescent="0.35"/>
    <row r="631" ht="25" customHeight="1" x14ac:dyDescent="0.35"/>
    <row r="632" ht="25" customHeight="1" x14ac:dyDescent="0.35"/>
    <row r="633" ht="25" customHeight="1" x14ac:dyDescent="0.35"/>
    <row r="634" ht="25" customHeight="1" x14ac:dyDescent="0.35"/>
    <row r="635" ht="25" customHeight="1" x14ac:dyDescent="0.35"/>
    <row r="636" ht="25" customHeight="1" x14ac:dyDescent="0.35"/>
    <row r="637" ht="25" customHeight="1" x14ac:dyDescent="0.35"/>
    <row r="638" ht="25" customHeight="1" x14ac:dyDescent="0.35"/>
    <row r="639" ht="25" customHeight="1" x14ac:dyDescent="0.35"/>
    <row r="640" ht="25" customHeight="1" x14ac:dyDescent="0.35"/>
    <row r="641" ht="25" customHeight="1" x14ac:dyDescent="0.35"/>
    <row r="642" ht="25" customHeight="1" x14ac:dyDescent="0.35"/>
    <row r="643" ht="25" customHeight="1" x14ac:dyDescent="0.35"/>
    <row r="644" ht="25" customHeight="1" x14ac:dyDescent="0.35"/>
    <row r="645" ht="25" customHeight="1" x14ac:dyDescent="0.35"/>
    <row r="646" ht="25" customHeight="1" x14ac:dyDescent="0.35"/>
    <row r="647" ht="25" customHeight="1" x14ac:dyDescent="0.35"/>
    <row r="648" ht="25" customHeight="1" x14ac:dyDescent="0.35"/>
    <row r="649" ht="25" customHeight="1" x14ac:dyDescent="0.35"/>
    <row r="650" ht="25" customHeight="1" x14ac:dyDescent="0.35"/>
    <row r="651" ht="25" customHeight="1" x14ac:dyDescent="0.35"/>
    <row r="652" ht="25" customHeight="1" x14ac:dyDescent="0.35"/>
    <row r="653" ht="25" customHeight="1" x14ac:dyDescent="0.35"/>
    <row r="654" ht="25" customHeight="1" x14ac:dyDescent="0.35"/>
    <row r="655" ht="25" customHeight="1" x14ac:dyDescent="0.35"/>
    <row r="656" ht="25" customHeight="1" x14ac:dyDescent="0.35"/>
    <row r="657" ht="25" customHeight="1" x14ac:dyDescent="0.35"/>
    <row r="658" ht="25" customHeight="1" x14ac:dyDescent="0.35"/>
    <row r="659" ht="25" customHeight="1" x14ac:dyDescent="0.35"/>
    <row r="660" ht="25" customHeight="1" x14ac:dyDescent="0.35"/>
    <row r="661" ht="25" customHeight="1" x14ac:dyDescent="0.35"/>
    <row r="662" ht="25" customHeight="1" x14ac:dyDescent="0.35"/>
    <row r="663" ht="25" customHeight="1" x14ac:dyDescent="0.35"/>
    <row r="664" ht="25" customHeight="1" x14ac:dyDescent="0.35"/>
    <row r="665" ht="25" customHeight="1" x14ac:dyDescent="0.35"/>
    <row r="666" ht="25" customHeight="1" x14ac:dyDescent="0.35"/>
    <row r="667" ht="25" customHeight="1" x14ac:dyDescent="0.35"/>
    <row r="668" ht="25" customHeight="1" x14ac:dyDescent="0.35"/>
    <row r="669" ht="25" customHeight="1" x14ac:dyDescent="0.35"/>
    <row r="670" ht="25" customHeight="1" x14ac:dyDescent="0.35"/>
    <row r="671" ht="25" customHeight="1" x14ac:dyDescent="0.35"/>
    <row r="672" ht="25" customHeight="1" x14ac:dyDescent="0.35"/>
    <row r="673" ht="25" customHeight="1" x14ac:dyDescent="0.35"/>
    <row r="674" ht="25" customHeight="1" x14ac:dyDescent="0.35"/>
    <row r="675" ht="25" customHeight="1" x14ac:dyDescent="0.35"/>
    <row r="676" ht="25" customHeight="1" x14ac:dyDescent="0.35"/>
    <row r="677" ht="25" customHeight="1" x14ac:dyDescent="0.35"/>
    <row r="678" ht="25" customHeight="1" x14ac:dyDescent="0.35"/>
    <row r="679" ht="25" customHeight="1" x14ac:dyDescent="0.35"/>
    <row r="680" ht="25" customHeight="1" x14ac:dyDescent="0.35"/>
    <row r="681" ht="25" customHeight="1" x14ac:dyDescent="0.35"/>
    <row r="682" ht="25" customHeight="1" x14ac:dyDescent="0.35"/>
    <row r="683" ht="25" customHeight="1" x14ac:dyDescent="0.35"/>
    <row r="684" ht="25" customHeight="1" x14ac:dyDescent="0.35"/>
    <row r="685" ht="25" customHeight="1" x14ac:dyDescent="0.35"/>
    <row r="686" ht="25" customHeight="1" x14ac:dyDescent="0.35"/>
    <row r="687" ht="25" customHeight="1" x14ac:dyDescent="0.35"/>
    <row r="688" ht="25" customHeight="1" x14ac:dyDescent="0.35"/>
    <row r="689" ht="25" customHeight="1" x14ac:dyDescent="0.35"/>
    <row r="690" ht="25" customHeight="1" x14ac:dyDescent="0.35"/>
    <row r="691" ht="25" customHeight="1" x14ac:dyDescent="0.35"/>
    <row r="692" ht="25" customHeight="1" x14ac:dyDescent="0.35"/>
    <row r="693" ht="25" customHeight="1" x14ac:dyDescent="0.35"/>
    <row r="694" ht="25" customHeight="1" x14ac:dyDescent="0.35"/>
    <row r="695" ht="25" customHeight="1" x14ac:dyDescent="0.35"/>
    <row r="696" ht="25" customHeight="1" x14ac:dyDescent="0.35"/>
    <row r="697" ht="25" customHeight="1" x14ac:dyDescent="0.35"/>
    <row r="698" ht="25" customHeight="1" x14ac:dyDescent="0.35"/>
    <row r="699" ht="25" customHeight="1" x14ac:dyDescent="0.35"/>
    <row r="700" ht="25" customHeight="1" x14ac:dyDescent="0.35"/>
    <row r="701" ht="25" customHeight="1" x14ac:dyDescent="0.35"/>
    <row r="702" ht="25" customHeight="1" x14ac:dyDescent="0.35"/>
    <row r="703" ht="25" customHeight="1" x14ac:dyDescent="0.35"/>
    <row r="704" ht="25" customHeight="1" x14ac:dyDescent="0.35"/>
    <row r="705" ht="25" customHeight="1" x14ac:dyDescent="0.35"/>
    <row r="706" ht="25" customHeight="1" x14ac:dyDescent="0.35"/>
    <row r="707" ht="25" customHeight="1" x14ac:dyDescent="0.35"/>
    <row r="708" ht="25" customHeight="1" x14ac:dyDescent="0.35"/>
    <row r="709" ht="25" customHeight="1" x14ac:dyDescent="0.35"/>
    <row r="710" ht="25" customHeight="1" x14ac:dyDescent="0.35"/>
    <row r="711" ht="25" customHeight="1" x14ac:dyDescent="0.35"/>
    <row r="712" ht="25" customHeight="1" x14ac:dyDescent="0.35"/>
    <row r="713" ht="25" customHeight="1" x14ac:dyDescent="0.35"/>
    <row r="714" ht="25" customHeight="1" x14ac:dyDescent="0.35"/>
    <row r="715" ht="25" customHeight="1" x14ac:dyDescent="0.35"/>
    <row r="716" ht="25" customHeight="1" x14ac:dyDescent="0.35"/>
    <row r="717" ht="25" customHeight="1" x14ac:dyDescent="0.35"/>
    <row r="718" ht="25" customHeight="1" x14ac:dyDescent="0.35"/>
    <row r="719" ht="25" customHeight="1" x14ac:dyDescent="0.35"/>
    <row r="720" ht="25" customHeight="1" x14ac:dyDescent="0.35"/>
    <row r="721" ht="25" customHeight="1" x14ac:dyDescent="0.35"/>
    <row r="722" ht="25" customHeight="1" x14ac:dyDescent="0.35"/>
    <row r="723" ht="25" customHeight="1" x14ac:dyDescent="0.35"/>
    <row r="724" ht="25" customHeight="1" x14ac:dyDescent="0.35"/>
    <row r="725" ht="25" customHeight="1" x14ac:dyDescent="0.35"/>
    <row r="726" ht="25" customHeight="1" x14ac:dyDescent="0.35"/>
    <row r="727" ht="25" customHeight="1" x14ac:dyDescent="0.35"/>
    <row r="728" ht="25" customHeight="1" x14ac:dyDescent="0.35"/>
    <row r="729" ht="25" customHeight="1" x14ac:dyDescent="0.35"/>
    <row r="730" ht="25" customHeight="1" x14ac:dyDescent="0.35"/>
    <row r="731" ht="25" customHeight="1" x14ac:dyDescent="0.35"/>
    <row r="732" ht="25" customHeight="1" x14ac:dyDescent="0.35"/>
    <row r="733" ht="25" customHeight="1" x14ac:dyDescent="0.35"/>
    <row r="734" ht="25" customHeight="1" x14ac:dyDescent="0.35"/>
    <row r="735" ht="25" customHeight="1" x14ac:dyDescent="0.35"/>
    <row r="736" ht="25" customHeight="1" x14ac:dyDescent="0.35"/>
    <row r="737" ht="25" customHeight="1" x14ac:dyDescent="0.35"/>
    <row r="738" ht="25" customHeight="1" x14ac:dyDescent="0.35"/>
    <row r="739" ht="25" customHeight="1" x14ac:dyDescent="0.35"/>
    <row r="740" ht="25" customHeight="1" x14ac:dyDescent="0.35"/>
    <row r="741" ht="25" customHeight="1" x14ac:dyDescent="0.35"/>
    <row r="742" ht="25" customHeight="1" x14ac:dyDescent="0.35"/>
    <row r="743" ht="25" customHeight="1" x14ac:dyDescent="0.35"/>
    <row r="744" ht="25" customHeight="1" x14ac:dyDescent="0.35"/>
    <row r="745" ht="25" customHeight="1" x14ac:dyDescent="0.35"/>
    <row r="746" ht="25" customHeight="1" x14ac:dyDescent="0.35"/>
    <row r="747" ht="25" customHeight="1" x14ac:dyDescent="0.35"/>
    <row r="748" ht="25" customHeight="1" x14ac:dyDescent="0.35"/>
    <row r="749" ht="25" customHeight="1" x14ac:dyDescent="0.35"/>
    <row r="750" ht="25" customHeight="1" x14ac:dyDescent="0.35"/>
    <row r="751" ht="25" customHeight="1" x14ac:dyDescent="0.35"/>
    <row r="752" ht="25" customHeight="1" x14ac:dyDescent="0.35"/>
    <row r="753" ht="25" customHeight="1" x14ac:dyDescent="0.35"/>
    <row r="754" ht="25" customHeight="1" x14ac:dyDescent="0.35"/>
    <row r="755" ht="25" customHeight="1" x14ac:dyDescent="0.35"/>
    <row r="756" ht="25" customHeight="1" x14ac:dyDescent="0.35"/>
    <row r="757" ht="25" customHeight="1" x14ac:dyDescent="0.35"/>
    <row r="758" ht="25" customHeight="1" x14ac:dyDescent="0.35"/>
    <row r="759" ht="25" customHeight="1" x14ac:dyDescent="0.35"/>
    <row r="760" ht="25" customHeight="1" x14ac:dyDescent="0.35"/>
    <row r="761" ht="25" customHeight="1" x14ac:dyDescent="0.35"/>
    <row r="762" ht="25" customHeight="1" x14ac:dyDescent="0.35"/>
    <row r="763" ht="25" customHeight="1" x14ac:dyDescent="0.35"/>
    <row r="764" ht="25" customHeight="1" x14ac:dyDescent="0.35"/>
    <row r="765" ht="25" customHeight="1" x14ac:dyDescent="0.35"/>
    <row r="766" ht="25" customHeight="1" x14ac:dyDescent="0.35"/>
    <row r="767" ht="25" customHeight="1" x14ac:dyDescent="0.35"/>
    <row r="768" ht="25" customHeight="1" x14ac:dyDescent="0.35"/>
    <row r="769" ht="25" customHeight="1" x14ac:dyDescent="0.35"/>
    <row r="770" ht="25" customHeight="1" x14ac:dyDescent="0.35"/>
    <row r="771" ht="25" customHeight="1" x14ac:dyDescent="0.35"/>
    <row r="772" ht="25" customHeight="1" x14ac:dyDescent="0.35"/>
    <row r="773" ht="25" customHeight="1" x14ac:dyDescent="0.35"/>
    <row r="774" ht="25" customHeight="1" x14ac:dyDescent="0.35"/>
    <row r="775" ht="25" customHeight="1" x14ac:dyDescent="0.35"/>
    <row r="776" ht="25" customHeight="1" x14ac:dyDescent="0.35"/>
    <row r="777" ht="25" customHeight="1" x14ac:dyDescent="0.35"/>
    <row r="778" ht="25" customHeight="1" x14ac:dyDescent="0.35"/>
    <row r="779" ht="25" customHeight="1" x14ac:dyDescent="0.35"/>
    <row r="780" ht="25" customHeight="1" x14ac:dyDescent="0.35"/>
    <row r="781" ht="25" customHeight="1" x14ac:dyDescent="0.35"/>
    <row r="782" ht="25" customHeight="1" x14ac:dyDescent="0.35"/>
    <row r="783" ht="25" customHeight="1" x14ac:dyDescent="0.35"/>
  </sheetData>
  <sheetProtection algorithmName="SHA-512" hashValue="vtwNoYpoykfBlfE2+3FraFEJiis6QO4hpXKof/1PudggsC+0vYH3a+tPzQRwLPdq8RgCVdS3POGVQOZhAY/Lig==" saltValue="rJ0hn+ipEZyg+kj8cbLiMA==" spinCount="100000" sheet="1" objects="1" scenarios="1" selectLockedCells="1"/>
  <mergeCells count="6">
    <mergeCell ref="B1:H1"/>
    <mergeCell ref="B2:D2"/>
    <mergeCell ref="E2:G5"/>
    <mergeCell ref="B3:D3"/>
    <mergeCell ref="B4:D4"/>
    <mergeCell ref="B5:D5"/>
  </mergeCells>
  <conditionalFormatting sqref="F7:F79">
    <cfRule type="containsText" dxfId="19" priority="1" operator="containsText" text="ERROR">
      <formula>NOT(ISERROR(SEARCH("ERROR",F7)))</formula>
    </cfRule>
  </conditionalFormatting>
  <conditionalFormatting sqref="G7:G79">
    <cfRule type="containsText" dxfId="18" priority="4" operator="containsText" text="worked">
      <formula>NOT(ISERROR(SEARCH("worked",G7)))</formula>
    </cfRule>
  </conditionalFormatting>
  <conditionalFormatting sqref="H7:H79">
    <cfRule type="cellIs" dxfId="17" priority="2" operator="greaterThan">
      <formula>2</formula>
    </cfRule>
    <cfRule type="cellIs" dxfId="16" priority="3" operator="lessThan">
      <formula>0</formula>
    </cfRule>
  </conditionalFormatting>
  <dataValidations count="3">
    <dataValidation type="time" operator="lessThan" allowBlank="1" showInputMessage="1" showErrorMessage="1" sqref="D7:E79" xr:uid="{7E383381-D535-48BA-B2A6-0912208B86B5}">
      <formula1>0.999988425925926</formula1>
    </dataValidation>
    <dataValidation type="whole" operator="lessThan" allowBlank="1" showInputMessage="1" showErrorMessage="1" sqref="B3:D3" xr:uid="{9656F829-ADF5-4554-A919-01E66FE35813}">
      <formula1>999999999</formula1>
    </dataValidation>
    <dataValidation type="decimal" errorStyle="warning" allowBlank="1" showInputMessage="1" showErrorMessage="1" errorTitle="BadInterval" error="The Duration of the Micro-Activity in INVALID_x000a_" sqref="H7" xr:uid="{F8EF5405-31B2-4D29-B4E1-D0A4F9629B80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B2330B89-5381-4FF6-B74E-1AF10AC32205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125A-654A-41F3-BE94-87B0EEBE0477}">
  <dimension ref="A1:I783"/>
  <sheetViews>
    <sheetView zoomScaleNormal="100" workbookViewId="0">
      <selection activeCell="G7" sqref="G7"/>
    </sheetView>
  </sheetViews>
  <sheetFormatPr defaultRowHeight="14.5" x14ac:dyDescent="0.35"/>
  <cols>
    <col min="1" max="1" width="37.26953125" customWidth="1"/>
    <col min="2" max="2" width="15.7265625" customWidth="1"/>
    <col min="3" max="3" width="15.7265625" style="2" customWidth="1"/>
    <col min="4" max="5" width="15.7265625" style="7" customWidth="1"/>
    <col min="6" max="6" width="15.7265625" customWidth="1"/>
    <col min="7" max="7" width="189.54296875" customWidth="1"/>
    <col min="8" max="8" width="15.7265625" customWidth="1"/>
    <col min="9" max="9" width="26" customWidth="1"/>
    <col min="10" max="33" width="15.7265625" customWidth="1"/>
  </cols>
  <sheetData>
    <row r="1" spans="1:9" ht="94.15" customHeight="1" thickBot="1" x14ac:dyDescent="0.4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5" customHeight="1" x14ac:dyDescent="0.35">
      <c r="A2" s="33" t="s">
        <v>6</v>
      </c>
      <c r="B2" s="46"/>
      <c r="C2" s="47"/>
      <c r="D2" s="48"/>
      <c r="E2" s="49" t="s">
        <v>22</v>
      </c>
      <c r="F2" s="50"/>
      <c r="G2" s="50"/>
    </row>
    <row r="3" spans="1:9" ht="25" customHeight="1" x14ac:dyDescent="0.35">
      <c r="A3" s="33" t="s">
        <v>5</v>
      </c>
      <c r="B3" s="55"/>
      <c r="C3" s="56"/>
      <c r="D3" s="57"/>
      <c r="E3" s="51"/>
      <c r="F3" s="52"/>
      <c r="G3" s="52"/>
    </row>
    <row r="4" spans="1:9" ht="25" customHeight="1" thickBot="1" x14ac:dyDescent="0.4">
      <c r="A4" s="33" t="s">
        <v>4</v>
      </c>
      <c r="B4" s="58" t="s">
        <v>9</v>
      </c>
      <c r="C4" s="59"/>
      <c r="D4" s="60"/>
      <c r="E4" s="51"/>
      <c r="F4" s="52"/>
      <c r="G4" s="52"/>
    </row>
    <row r="5" spans="1:9" ht="59.5" customHeight="1" thickBot="1" x14ac:dyDescent="0.4">
      <c r="A5" s="34" t="s">
        <v>11</v>
      </c>
      <c r="B5" s="58" t="s">
        <v>12</v>
      </c>
      <c r="C5" s="59"/>
      <c r="D5" s="60"/>
      <c r="E5" s="53"/>
      <c r="F5" s="54"/>
      <c r="G5" s="54"/>
    </row>
    <row r="6" spans="1:9" s="1" customFormat="1" ht="25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35">
      <c r="A7" s="30"/>
      <c r="B7" s="12"/>
      <c r="C7" s="18"/>
      <c r="D7" s="19"/>
      <c r="E7" s="20"/>
      <c r="F7" s="40" t="str">
        <f>IF(AND(NOT(ISBLANK($D7)),NOT(ISBLANK($E7)),OR($H7&lt;0,$H7&gt;2)),"ERROR","")</f>
        <v/>
      </c>
      <c r="G7" s="15"/>
      <c r="H7" s="11">
        <f>IF(E7&gt;=D7, E7-D7, 1-D7+E7)*24</f>
        <v>0</v>
      </c>
      <c r="I7" s="9"/>
    </row>
    <row r="8" spans="1:9" ht="25" customHeight="1" x14ac:dyDescent="0.45">
      <c r="A8" s="31"/>
      <c r="B8" s="13"/>
      <c r="C8" s="21"/>
      <c r="D8" s="19"/>
      <c r="E8" s="35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5" customHeight="1" x14ac:dyDescent="0.4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5" customHeight="1" x14ac:dyDescent="0.4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5" customHeight="1" x14ac:dyDescent="0.4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5" customHeight="1" x14ac:dyDescent="0.4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5" customHeight="1" x14ac:dyDescent="0.4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5" customHeight="1" x14ac:dyDescent="0.4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5" customHeight="1" x14ac:dyDescent="0.4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5" customHeight="1" x14ac:dyDescent="0.4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5" customHeight="1" x14ac:dyDescent="0.4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5" customHeight="1" x14ac:dyDescent="0.4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5" customHeight="1" x14ac:dyDescent="0.4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5" customHeight="1" x14ac:dyDescent="0.4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5" customHeight="1" x14ac:dyDescent="0.4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5" customHeight="1" x14ac:dyDescent="0.4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5" customHeight="1" x14ac:dyDescent="0.4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5" customHeight="1" x14ac:dyDescent="0.4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5" customHeight="1" x14ac:dyDescent="0.4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5" customHeight="1" x14ac:dyDescent="0.4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5" customHeight="1" x14ac:dyDescent="0.4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5" customHeight="1" x14ac:dyDescent="0.4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5" customHeight="1" x14ac:dyDescent="0.4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5" customHeight="1" x14ac:dyDescent="0.4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5" customHeight="1" x14ac:dyDescent="0.4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5" customHeight="1" x14ac:dyDescent="0.4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5" customHeight="1" x14ac:dyDescent="0.4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5" customHeight="1" x14ac:dyDescent="0.4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5" customHeight="1" x14ac:dyDescent="0.4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5" customHeight="1" x14ac:dyDescent="0.4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5" customHeight="1" x14ac:dyDescent="0.4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5" customHeight="1" x14ac:dyDescent="0.4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5" customHeight="1" x14ac:dyDescent="0.4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5" customHeight="1" x14ac:dyDescent="0.4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5" customHeight="1" x14ac:dyDescent="0.4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5" customHeight="1" x14ac:dyDescent="0.4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5" customHeight="1" x14ac:dyDescent="0.4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5" customHeight="1" x14ac:dyDescent="0.4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5" customHeight="1" x14ac:dyDescent="0.4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5" customHeight="1" x14ac:dyDescent="0.4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5" customHeight="1" x14ac:dyDescent="0.4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5" customHeight="1" x14ac:dyDescent="0.4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5" customHeight="1" x14ac:dyDescent="0.4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5" customHeight="1" x14ac:dyDescent="0.4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5" customHeight="1" x14ac:dyDescent="0.4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5" customHeight="1" x14ac:dyDescent="0.4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5" customHeight="1" x14ac:dyDescent="0.4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5" customHeight="1" x14ac:dyDescent="0.4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5" customHeight="1" x14ac:dyDescent="0.4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5" customHeight="1" x14ac:dyDescent="0.4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5" customHeight="1" x14ac:dyDescent="0.4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5" customHeight="1" x14ac:dyDescent="0.4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5" customHeight="1" x14ac:dyDescent="0.4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5" customHeight="1" x14ac:dyDescent="0.4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5" customHeight="1" x14ac:dyDescent="0.4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5" customHeight="1" x14ac:dyDescent="0.4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5" customHeight="1" x14ac:dyDescent="0.4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5" customHeight="1" x14ac:dyDescent="0.4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5" customHeight="1" x14ac:dyDescent="0.4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5" customHeight="1" x14ac:dyDescent="0.4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5" customHeight="1" x14ac:dyDescent="0.4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5" customHeight="1" x14ac:dyDescent="0.4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5" customHeight="1" x14ac:dyDescent="0.4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5" customHeight="1" x14ac:dyDescent="0.4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5" customHeight="1" x14ac:dyDescent="0.4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5" customHeight="1" x14ac:dyDescent="0.4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5" customHeight="1" x14ac:dyDescent="0.4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5" customHeight="1" x14ac:dyDescent="0.4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5" customHeight="1" x14ac:dyDescent="0.4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5" customHeight="1" x14ac:dyDescent="0.4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5" customHeight="1" x14ac:dyDescent="0.4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5" customHeight="1" x14ac:dyDescent="0.4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5" customHeight="1" thickBot="1" x14ac:dyDescent="0.5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5" customHeight="1" x14ac:dyDescent="0.45">
      <c r="F80" s="29"/>
      <c r="H80" s="28">
        <f>SUM(H7:H79)</f>
        <v>0</v>
      </c>
    </row>
    <row r="81" ht="25" customHeight="1" x14ac:dyDescent="0.35"/>
    <row r="82" ht="25" customHeight="1" x14ac:dyDescent="0.35"/>
    <row r="83" ht="25" customHeight="1" x14ac:dyDescent="0.35"/>
    <row r="84" ht="25" customHeight="1" x14ac:dyDescent="0.35"/>
    <row r="85" ht="25" customHeight="1" x14ac:dyDescent="0.35"/>
    <row r="86" ht="25" customHeight="1" x14ac:dyDescent="0.35"/>
    <row r="87" ht="25" customHeight="1" x14ac:dyDescent="0.35"/>
    <row r="88" ht="25" customHeight="1" x14ac:dyDescent="0.35"/>
    <row r="89" ht="25" customHeight="1" x14ac:dyDescent="0.35"/>
    <row r="90" ht="25" customHeight="1" x14ac:dyDescent="0.35"/>
    <row r="91" ht="25" customHeight="1" x14ac:dyDescent="0.35"/>
    <row r="92" ht="25" customHeight="1" x14ac:dyDescent="0.35"/>
    <row r="93" ht="25" customHeight="1" x14ac:dyDescent="0.35"/>
    <row r="94" ht="25" customHeight="1" x14ac:dyDescent="0.35"/>
    <row r="95" ht="25" customHeight="1" x14ac:dyDescent="0.35"/>
    <row r="96" ht="25" customHeight="1" x14ac:dyDescent="0.35"/>
    <row r="97" ht="25" customHeight="1" x14ac:dyDescent="0.35"/>
    <row r="98" ht="25" customHeight="1" x14ac:dyDescent="0.35"/>
    <row r="99" ht="25" customHeight="1" x14ac:dyDescent="0.35"/>
    <row r="100" ht="25" customHeight="1" x14ac:dyDescent="0.35"/>
    <row r="101" ht="25" customHeight="1" x14ac:dyDescent="0.35"/>
    <row r="102" ht="25" customHeight="1" x14ac:dyDescent="0.35"/>
    <row r="103" ht="25" customHeight="1" x14ac:dyDescent="0.35"/>
    <row r="104" ht="25" customHeight="1" x14ac:dyDescent="0.35"/>
    <row r="105" ht="25" customHeight="1" x14ac:dyDescent="0.35"/>
    <row r="106" ht="25" customHeight="1" x14ac:dyDescent="0.35"/>
    <row r="107" ht="25" customHeight="1" x14ac:dyDescent="0.35"/>
    <row r="108" ht="25" customHeight="1" x14ac:dyDescent="0.35"/>
    <row r="109" ht="25" customHeight="1" x14ac:dyDescent="0.35"/>
    <row r="110" ht="25" customHeight="1" x14ac:dyDescent="0.35"/>
    <row r="111" ht="25" customHeight="1" x14ac:dyDescent="0.35"/>
    <row r="112" ht="25" customHeight="1" x14ac:dyDescent="0.35"/>
    <row r="113" ht="25" customHeight="1" x14ac:dyDescent="0.35"/>
    <row r="114" ht="25" customHeight="1" x14ac:dyDescent="0.35"/>
    <row r="115" ht="25" customHeight="1" x14ac:dyDescent="0.35"/>
    <row r="116" ht="25" customHeight="1" x14ac:dyDescent="0.35"/>
    <row r="117" ht="25" customHeight="1" x14ac:dyDescent="0.35"/>
    <row r="118" ht="25" customHeight="1" x14ac:dyDescent="0.35"/>
    <row r="119" ht="25" customHeight="1" x14ac:dyDescent="0.35"/>
    <row r="120" ht="25" customHeight="1" x14ac:dyDescent="0.35"/>
    <row r="121" ht="25" customHeight="1" x14ac:dyDescent="0.35"/>
    <row r="122" ht="25" customHeight="1" x14ac:dyDescent="0.35"/>
    <row r="123" ht="25" customHeight="1" x14ac:dyDescent="0.35"/>
    <row r="124" ht="25" customHeight="1" x14ac:dyDescent="0.35"/>
    <row r="125" ht="25" customHeight="1" x14ac:dyDescent="0.35"/>
    <row r="126" ht="25" customHeight="1" x14ac:dyDescent="0.35"/>
    <row r="127" ht="25" customHeight="1" x14ac:dyDescent="0.35"/>
    <row r="128" ht="25" customHeight="1" x14ac:dyDescent="0.35"/>
    <row r="129" ht="25" customHeight="1" x14ac:dyDescent="0.35"/>
    <row r="130" ht="25" customHeight="1" x14ac:dyDescent="0.35"/>
    <row r="131" ht="25" customHeight="1" x14ac:dyDescent="0.35"/>
    <row r="132" ht="25" customHeight="1" x14ac:dyDescent="0.35"/>
    <row r="133" ht="25" customHeight="1" x14ac:dyDescent="0.35"/>
    <row r="134" ht="25" customHeight="1" x14ac:dyDescent="0.35"/>
    <row r="135" ht="25" customHeight="1" x14ac:dyDescent="0.35"/>
    <row r="136" ht="25" customHeight="1" x14ac:dyDescent="0.35"/>
    <row r="137" ht="25" customHeight="1" x14ac:dyDescent="0.35"/>
    <row r="138" ht="25" customHeight="1" x14ac:dyDescent="0.35"/>
    <row r="139" ht="25" customHeight="1" x14ac:dyDescent="0.35"/>
    <row r="140" ht="25" customHeight="1" x14ac:dyDescent="0.35"/>
    <row r="141" ht="25" customHeight="1" x14ac:dyDescent="0.35"/>
    <row r="142" ht="25" customHeight="1" x14ac:dyDescent="0.35"/>
    <row r="143" ht="25" customHeight="1" x14ac:dyDescent="0.35"/>
    <row r="144" ht="25" customHeight="1" x14ac:dyDescent="0.35"/>
    <row r="145" ht="25" customHeight="1" x14ac:dyDescent="0.35"/>
    <row r="146" ht="25" customHeight="1" x14ac:dyDescent="0.35"/>
    <row r="147" ht="25" customHeight="1" x14ac:dyDescent="0.35"/>
    <row r="148" ht="25" customHeight="1" x14ac:dyDescent="0.35"/>
    <row r="149" ht="25" customHeight="1" x14ac:dyDescent="0.35"/>
    <row r="150" ht="25" customHeight="1" x14ac:dyDescent="0.35"/>
    <row r="151" ht="25" customHeight="1" x14ac:dyDescent="0.35"/>
    <row r="152" ht="25" customHeight="1" x14ac:dyDescent="0.35"/>
    <row r="153" ht="25" customHeight="1" x14ac:dyDescent="0.35"/>
    <row r="154" ht="25" customHeight="1" x14ac:dyDescent="0.35"/>
    <row r="155" ht="25" customHeight="1" x14ac:dyDescent="0.35"/>
    <row r="156" ht="25" customHeight="1" x14ac:dyDescent="0.35"/>
    <row r="157" ht="25" customHeight="1" x14ac:dyDescent="0.35"/>
    <row r="158" ht="25" customHeight="1" x14ac:dyDescent="0.35"/>
    <row r="159" ht="25" customHeight="1" x14ac:dyDescent="0.35"/>
    <row r="160" ht="25" customHeight="1" x14ac:dyDescent="0.35"/>
    <row r="161" ht="25" customHeight="1" x14ac:dyDescent="0.35"/>
    <row r="162" ht="25" customHeight="1" x14ac:dyDescent="0.35"/>
    <row r="163" ht="25" customHeight="1" x14ac:dyDescent="0.35"/>
    <row r="164" ht="25" customHeight="1" x14ac:dyDescent="0.35"/>
    <row r="165" ht="25" customHeight="1" x14ac:dyDescent="0.35"/>
    <row r="166" ht="25" customHeight="1" x14ac:dyDescent="0.35"/>
    <row r="167" ht="25" customHeight="1" x14ac:dyDescent="0.35"/>
    <row r="168" ht="25" customHeight="1" x14ac:dyDescent="0.35"/>
    <row r="169" ht="25" customHeight="1" x14ac:dyDescent="0.35"/>
    <row r="170" ht="25" customHeight="1" x14ac:dyDescent="0.35"/>
    <row r="171" ht="25" customHeight="1" x14ac:dyDescent="0.35"/>
    <row r="172" ht="25" customHeight="1" x14ac:dyDescent="0.35"/>
    <row r="173" ht="25" customHeight="1" x14ac:dyDescent="0.35"/>
    <row r="174" ht="25" customHeight="1" x14ac:dyDescent="0.35"/>
    <row r="175" ht="25" customHeight="1" x14ac:dyDescent="0.35"/>
    <row r="176" ht="25" customHeight="1" x14ac:dyDescent="0.35"/>
    <row r="177" ht="25" customHeight="1" x14ac:dyDescent="0.35"/>
    <row r="178" ht="25" customHeight="1" x14ac:dyDescent="0.35"/>
    <row r="179" ht="25" customHeight="1" x14ac:dyDescent="0.35"/>
    <row r="180" ht="25" customHeight="1" x14ac:dyDescent="0.35"/>
    <row r="181" ht="25" customHeight="1" x14ac:dyDescent="0.35"/>
    <row r="182" ht="25" customHeight="1" x14ac:dyDescent="0.35"/>
    <row r="183" ht="25" customHeight="1" x14ac:dyDescent="0.35"/>
    <row r="184" ht="25" customHeight="1" x14ac:dyDescent="0.35"/>
    <row r="185" ht="25" customHeight="1" x14ac:dyDescent="0.35"/>
    <row r="186" ht="25" customHeight="1" x14ac:dyDescent="0.35"/>
    <row r="187" ht="25" customHeight="1" x14ac:dyDescent="0.35"/>
    <row r="188" ht="25" customHeight="1" x14ac:dyDescent="0.35"/>
    <row r="189" ht="25" customHeight="1" x14ac:dyDescent="0.35"/>
    <row r="190" ht="25" customHeight="1" x14ac:dyDescent="0.35"/>
    <row r="191" ht="25" customHeight="1" x14ac:dyDescent="0.35"/>
    <row r="192" ht="25" customHeight="1" x14ac:dyDescent="0.35"/>
    <row r="193" ht="25" customHeight="1" x14ac:dyDescent="0.35"/>
    <row r="194" ht="25" customHeight="1" x14ac:dyDescent="0.35"/>
    <row r="195" ht="25" customHeight="1" x14ac:dyDescent="0.35"/>
    <row r="196" ht="25" customHeight="1" x14ac:dyDescent="0.35"/>
    <row r="197" ht="25" customHeight="1" x14ac:dyDescent="0.35"/>
    <row r="198" ht="25" customHeight="1" x14ac:dyDescent="0.35"/>
    <row r="199" ht="25" customHeight="1" x14ac:dyDescent="0.35"/>
    <row r="200" ht="25" customHeight="1" x14ac:dyDescent="0.35"/>
    <row r="201" ht="25" customHeight="1" x14ac:dyDescent="0.35"/>
    <row r="202" ht="25" customHeight="1" x14ac:dyDescent="0.35"/>
    <row r="203" ht="25" customHeight="1" x14ac:dyDescent="0.35"/>
    <row r="204" ht="25" customHeight="1" x14ac:dyDescent="0.35"/>
    <row r="205" ht="25" customHeight="1" x14ac:dyDescent="0.35"/>
    <row r="206" ht="25" customHeight="1" x14ac:dyDescent="0.35"/>
    <row r="207" ht="25" customHeight="1" x14ac:dyDescent="0.35"/>
    <row r="208" ht="25" customHeight="1" x14ac:dyDescent="0.35"/>
    <row r="209" ht="25" customHeight="1" x14ac:dyDescent="0.35"/>
    <row r="210" ht="25" customHeight="1" x14ac:dyDescent="0.35"/>
    <row r="211" ht="25" customHeight="1" x14ac:dyDescent="0.35"/>
    <row r="212" ht="25" customHeight="1" x14ac:dyDescent="0.35"/>
    <row r="213" ht="25" customHeight="1" x14ac:dyDescent="0.35"/>
    <row r="214" ht="25" customHeight="1" x14ac:dyDescent="0.35"/>
    <row r="215" ht="25" customHeight="1" x14ac:dyDescent="0.35"/>
    <row r="216" ht="25" customHeight="1" x14ac:dyDescent="0.35"/>
    <row r="217" ht="25" customHeight="1" x14ac:dyDescent="0.35"/>
    <row r="218" ht="25" customHeight="1" x14ac:dyDescent="0.35"/>
    <row r="219" ht="25" customHeight="1" x14ac:dyDescent="0.35"/>
    <row r="220" ht="25" customHeight="1" x14ac:dyDescent="0.35"/>
    <row r="221" ht="25" customHeight="1" x14ac:dyDescent="0.35"/>
    <row r="222" ht="25" customHeight="1" x14ac:dyDescent="0.35"/>
    <row r="223" ht="25" customHeight="1" x14ac:dyDescent="0.35"/>
    <row r="224" ht="25" customHeight="1" x14ac:dyDescent="0.35"/>
    <row r="225" ht="25" customHeight="1" x14ac:dyDescent="0.35"/>
    <row r="226" ht="25" customHeight="1" x14ac:dyDescent="0.35"/>
    <row r="227" ht="25" customHeight="1" x14ac:dyDescent="0.35"/>
    <row r="228" ht="25" customHeight="1" x14ac:dyDescent="0.35"/>
    <row r="229" ht="25" customHeight="1" x14ac:dyDescent="0.35"/>
    <row r="230" ht="25" customHeight="1" x14ac:dyDescent="0.35"/>
    <row r="231" ht="25" customHeight="1" x14ac:dyDescent="0.35"/>
    <row r="232" ht="25" customHeight="1" x14ac:dyDescent="0.35"/>
    <row r="233" ht="25" customHeight="1" x14ac:dyDescent="0.35"/>
    <row r="234" ht="25" customHeight="1" x14ac:dyDescent="0.35"/>
    <row r="235" ht="25" customHeight="1" x14ac:dyDescent="0.35"/>
    <row r="236" ht="25" customHeight="1" x14ac:dyDescent="0.35"/>
    <row r="237" ht="25" customHeight="1" x14ac:dyDescent="0.35"/>
    <row r="238" ht="25" customHeight="1" x14ac:dyDescent="0.35"/>
    <row r="239" ht="25" customHeight="1" x14ac:dyDescent="0.35"/>
    <row r="240" ht="25" customHeight="1" x14ac:dyDescent="0.35"/>
    <row r="241" ht="25" customHeight="1" x14ac:dyDescent="0.35"/>
    <row r="242" ht="25" customHeight="1" x14ac:dyDescent="0.35"/>
    <row r="243" ht="25" customHeight="1" x14ac:dyDescent="0.35"/>
    <row r="244" ht="25" customHeight="1" x14ac:dyDescent="0.35"/>
    <row r="245" ht="25" customHeight="1" x14ac:dyDescent="0.35"/>
    <row r="246" ht="25" customHeight="1" x14ac:dyDescent="0.35"/>
    <row r="247" ht="25" customHeight="1" x14ac:dyDescent="0.35"/>
    <row r="248" ht="25" customHeight="1" x14ac:dyDescent="0.35"/>
    <row r="249" ht="25" customHeight="1" x14ac:dyDescent="0.35"/>
    <row r="250" ht="25" customHeight="1" x14ac:dyDescent="0.35"/>
    <row r="251" ht="25" customHeight="1" x14ac:dyDescent="0.35"/>
    <row r="252" ht="25" customHeight="1" x14ac:dyDescent="0.35"/>
    <row r="253" ht="25" customHeight="1" x14ac:dyDescent="0.35"/>
    <row r="254" ht="25" customHeight="1" x14ac:dyDescent="0.35"/>
    <row r="255" ht="25" customHeight="1" x14ac:dyDescent="0.35"/>
    <row r="256" ht="25" customHeight="1" x14ac:dyDescent="0.35"/>
    <row r="257" ht="25" customHeight="1" x14ac:dyDescent="0.35"/>
    <row r="258" ht="25" customHeight="1" x14ac:dyDescent="0.35"/>
    <row r="259" ht="25" customHeight="1" x14ac:dyDescent="0.35"/>
    <row r="260" ht="25" customHeight="1" x14ac:dyDescent="0.35"/>
    <row r="261" ht="25" customHeight="1" x14ac:dyDescent="0.35"/>
    <row r="262" ht="25" customHeight="1" x14ac:dyDescent="0.35"/>
    <row r="263" ht="25" customHeight="1" x14ac:dyDescent="0.35"/>
    <row r="264" ht="25" customHeight="1" x14ac:dyDescent="0.35"/>
    <row r="265" ht="25" customHeight="1" x14ac:dyDescent="0.35"/>
    <row r="266" ht="25" customHeight="1" x14ac:dyDescent="0.35"/>
    <row r="267" ht="25" customHeight="1" x14ac:dyDescent="0.35"/>
    <row r="268" ht="25" customHeight="1" x14ac:dyDescent="0.35"/>
    <row r="269" ht="25" customHeight="1" x14ac:dyDescent="0.35"/>
    <row r="270" ht="25" customHeight="1" x14ac:dyDescent="0.35"/>
    <row r="271" ht="25" customHeight="1" x14ac:dyDescent="0.35"/>
    <row r="272" ht="25" customHeight="1" x14ac:dyDescent="0.35"/>
    <row r="273" ht="25" customHeight="1" x14ac:dyDescent="0.35"/>
    <row r="274" ht="25" customHeight="1" x14ac:dyDescent="0.35"/>
    <row r="275" ht="25" customHeight="1" x14ac:dyDescent="0.35"/>
    <row r="276" ht="25" customHeight="1" x14ac:dyDescent="0.35"/>
    <row r="277" ht="25" customHeight="1" x14ac:dyDescent="0.35"/>
    <row r="278" ht="25" customHeight="1" x14ac:dyDescent="0.35"/>
    <row r="279" ht="25" customHeight="1" x14ac:dyDescent="0.35"/>
    <row r="280" ht="25" customHeight="1" x14ac:dyDescent="0.35"/>
    <row r="281" ht="25" customHeight="1" x14ac:dyDescent="0.35"/>
    <row r="282" ht="25" customHeight="1" x14ac:dyDescent="0.35"/>
    <row r="283" ht="25" customHeight="1" x14ac:dyDescent="0.35"/>
    <row r="284" ht="25" customHeight="1" x14ac:dyDescent="0.35"/>
    <row r="285" ht="25" customHeight="1" x14ac:dyDescent="0.35"/>
    <row r="286" ht="25" customHeight="1" x14ac:dyDescent="0.35"/>
    <row r="287" ht="25" customHeight="1" x14ac:dyDescent="0.35"/>
    <row r="288" ht="25" customHeight="1" x14ac:dyDescent="0.35"/>
    <row r="289" ht="25" customHeight="1" x14ac:dyDescent="0.35"/>
    <row r="290" ht="25" customHeight="1" x14ac:dyDescent="0.35"/>
    <row r="291" ht="25" customHeight="1" x14ac:dyDescent="0.35"/>
    <row r="292" ht="25" customHeight="1" x14ac:dyDescent="0.35"/>
    <row r="293" ht="25" customHeight="1" x14ac:dyDescent="0.35"/>
    <row r="294" ht="25" customHeight="1" x14ac:dyDescent="0.35"/>
    <row r="295" ht="25" customHeight="1" x14ac:dyDescent="0.35"/>
    <row r="296" ht="25" customHeight="1" x14ac:dyDescent="0.35"/>
    <row r="297" ht="25" customHeight="1" x14ac:dyDescent="0.35"/>
    <row r="298" ht="25" customHeight="1" x14ac:dyDescent="0.35"/>
    <row r="299" ht="25" customHeight="1" x14ac:dyDescent="0.35"/>
    <row r="300" ht="25" customHeight="1" x14ac:dyDescent="0.35"/>
    <row r="301" ht="25" customHeight="1" x14ac:dyDescent="0.35"/>
    <row r="302" ht="25" customHeight="1" x14ac:dyDescent="0.35"/>
    <row r="303" ht="25" customHeight="1" x14ac:dyDescent="0.35"/>
    <row r="304" ht="25" customHeight="1" x14ac:dyDescent="0.35"/>
    <row r="305" ht="25" customHeight="1" x14ac:dyDescent="0.35"/>
    <row r="306" ht="25" customHeight="1" x14ac:dyDescent="0.35"/>
    <row r="307" ht="25" customHeight="1" x14ac:dyDescent="0.35"/>
    <row r="308" ht="25" customHeight="1" x14ac:dyDescent="0.35"/>
    <row r="309" ht="25" customHeight="1" x14ac:dyDescent="0.35"/>
    <row r="310" ht="25" customHeight="1" x14ac:dyDescent="0.35"/>
    <row r="311" ht="25" customHeight="1" x14ac:dyDescent="0.35"/>
    <row r="312" ht="25" customHeight="1" x14ac:dyDescent="0.35"/>
    <row r="313" ht="25" customHeight="1" x14ac:dyDescent="0.35"/>
    <row r="314" ht="25" customHeight="1" x14ac:dyDescent="0.35"/>
    <row r="315" ht="25" customHeight="1" x14ac:dyDescent="0.35"/>
    <row r="316" ht="25" customHeight="1" x14ac:dyDescent="0.35"/>
    <row r="317" ht="25" customHeight="1" x14ac:dyDescent="0.35"/>
    <row r="318" ht="25" customHeight="1" x14ac:dyDescent="0.35"/>
    <row r="319" ht="25" customHeight="1" x14ac:dyDescent="0.35"/>
    <row r="320" ht="25" customHeight="1" x14ac:dyDescent="0.35"/>
    <row r="321" ht="25" customHeight="1" x14ac:dyDescent="0.35"/>
    <row r="322" ht="25" customHeight="1" x14ac:dyDescent="0.35"/>
    <row r="323" ht="25" customHeight="1" x14ac:dyDescent="0.35"/>
    <row r="324" ht="25" customHeight="1" x14ac:dyDescent="0.35"/>
    <row r="325" ht="25" customHeight="1" x14ac:dyDescent="0.35"/>
    <row r="326" ht="25" customHeight="1" x14ac:dyDescent="0.35"/>
    <row r="327" ht="25" customHeight="1" x14ac:dyDescent="0.35"/>
    <row r="328" ht="25" customHeight="1" x14ac:dyDescent="0.35"/>
    <row r="329" ht="25" customHeight="1" x14ac:dyDescent="0.35"/>
    <row r="330" ht="25" customHeight="1" x14ac:dyDescent="0.35"/>
    <row r="331" ht="25" customHeight="1" x14ac:dyDescent="0.35"/>
    <row r="332" ht="25" customHeight="1" x14ac:dyDescent="0.35"/>
    <row r="333" ht="25" customHeight="1" x14ac:dyDescent="0.35"/>
    <row r="334" ht="25" customHeight="1" x14ac:dyDescent="0.35"/>
    <row r="335" ht="25" customHeight="1" x14ac:dyDescent="0.35"/>
    <row r="336" ht="25" customHeight="1" x14ac:dyDescent="0.35"/>
    <row r="337" ht="25" customHeight="1" x14ac:dyDescent="0.35"/>
    <row r="338" ht="25" customHeight="1" x14ac:dyDescent="0.35"/>
    <row r="339" ht="25" customHeight="1" x14ac:dyDescent="0.35"/>
    <row r="340" ht="25" customHeight="1" x14ac:dyDescent="0.35"/>
    <row r="341" ht="25" customHeight="1" x14ac:dyDescent="0.35"/>
    <row r="342" ht="25" customHeight="1" x14ac:dyDescent="0.35"/>
    <row r="343" ht="25" customHeight="1" x14ac:dyDescent="0.35"/>
    <row r="344" ht="25" customHeight="1" x14ac:dyDescent="0.35"/>
    <row r="345" ht="25" customHeight="1" x14ac:dyDescent="0.35"/>
    <row r="346" ht="25" customHeight="1" x14ac:dyDescent="0.35"/>
    <row r="347" ht="25" customHeight="1" x14ac:dyDescent="0.35"/>
    <row r="348" ht="25" customHeight="1" x14ac:dyDescent="0.35"/>
    <row r="349" ht="25" customHeight="1" x14ac:dyDescent="0.35"/>
    <row r="350" ht="25" customHeight="1" x14ac:dyDescent="0.35"/>
    <row r="351" ht="25" customHeight="1" x14ac:dyDescent="0.35"/>
    <row r="352" ht="25" customHeight="1" x14ac:dyDescent="0.35"/>
    <row r="353" ht="25" customHeight="1" x14ac:dyDescent="0.35"/>
    <row r="354" ht="25" customHeight="1" x14ac:dyDescent="0.35"/>
    <row r="355" ht="25" customHeight="1" x14ac:dyDescent="0.35"/>
    <row r="356" ht="25" customHeight="1" x14ac:dyDescent="0.35"/>
    <row r="357" ht="25" customHeight="1" x14ac:dyDescent="0.35"/>
    <row r="358" ht="25" customHeight="1" x14ac:dyDescent="0.35"/>
    <row r="359" ht="25" customHeight="1" x14ac:dyDescent="0.35"/>
    <row r="360" ht="25" customHeight="1" x14ac:dyDescent="0.35"/>
    <row r="361" ht="25" customHeight="1" x14ac:dyDescent="0.35"/>
    <row r="362" ht="25" customHeight="1" x14ac:dyDescent="0.35"/>
    <row r="363" ht="25" customHeight="1" x14ac:dyDescent="0.35"/>
    <row r="364" ht="25" customHeight="1" x14ac:dyDescent="0.35"/>
    <row r="365" ht="25" customHeight="1" x14ac:dyDescent="0.35"/>
    <row r="366" ht="25" customHeight="1" x14ac:dyDescent="0.35"/>
    <row r="367" ht="25" customHeight="1" x14ac:dyDescent="0.35"/>
    <row r="368" ht="25" customHeight="1" x14ac:dyDescent="0.35"/>
    <row r="369" ht="25" customHeight="1" x14ac:dyDescent="0.35"/>
    <row r="370" ht="25" customHeight="1" x14ac:dyDescent="0.35"/>
    <row r="371" ht="25" customHeight="1" x14ac:dyDescent="0.35"/>
    <row r="372" ht="25" customHeight="1" x14ac:dyDescent="0.35"/>
    <row r="373" ht="25" customHeight="1" x14ac:dyDescent="0.35"/>
    <row r="374" ht="25" customHeight="1" x14ac:dyDescent="0.35"/>
    <row r="375" ht="25" customHeight="1" x14ac:dyDescent="0.35"/>
    <row r="376" ht="25" customHeight="1" x14ac:dyDescent="0.35"/>
    <row r="377" ht="25" customHeight="1" x14ac:dyDescent="0.35"/>
    <row r="378" ht="25" customHeight="1" x14ac:dyDescent="0.35"/>
    <row r="379" ht="25" customHeight="1" x14ac:dyDescent="0.35"/>
    <row r="380" ht="25" customHeight="1" x14ac:dyDescent="0.35"/>
    <row r="381" ht="25" customHeight="1" x14ac:dyDescent="0.35"/>
    <row r="382" ht="25" customHeight="1" x14ac:dyDescent="0.35"/>
    <row r="383" ht="25" customHeight="1" x14ac:dyDescent="0.35"/>
    <row r="384" ht="25" customHeight="1" x14ac:dyDescent="0.35"/>
    <row r="385" ht="25" customHeight="1" x14ac:dyDescent="0.35"/>
    <row r="386" ht="25" customHeight="1" x14ac:dyDescent="0.35"/>
    <row r="387" ht="25" customHeight="1" x14ac:dyDescent="0.35"/>
    <row r="388" ht="25" customHeight="1" x14ac:dyDescent="0.35"/>
    <row r="389" ht="25" customHeight="1" x14ac:dyDescent="0.35"/>
    <row r="390" ht="25" customHeight="1" x14ac:dyDescent="0.35"/>
    <row r="391" ht="25" customHeight="1" x14ac:dyDescent="0.35"/>
    <row r="392" ht="25" customHeight="1" x14ac:dyDescent="0.35"/>
    <row r="393" ht="25" customHeight="1" x14ac:dyDescent="0.35"/>
    <row r="394" ht="25" customHeight="1" x14ac:dyDescent="0.35"/>
    <row r="395" ht="25" customHeight="1" x14ac:dyDescent="0.35"/>
    <row r="396" ht="25" customHeight="1" x14ac:dyDescent="0.35"/>
    <row r="397" ht="25" customHeight="1" x14ac:dyDescent="0.35"/>
    <row r="398" ht="25" customHeight="1" x14ac:dyDescent="0.35"/>
    <row r="399" ht="25" customHeight="1" x14ac:dyDescent="0.35"/>
    <row r="400" ht="25" customHeight="1" x14ac:dyDescent="0.35"/>
    <row r="401" ht="25" customHeight="1" x14ac:dyDescent="0.35"/>
    <row r="402" ht="25" customHeight="1" x14ac:dyDescent="0.35"/>
    <row r="403" ht="25" customHeight="1" x14ac:dyDescent="0.35"/>
    <row r="404" ht="25" customHeight="1" x14ac:dyDescent="0.35"/>
    <row r="405" ht="25" customHeight="1" x14ac:dyDescent="0.35"/>
    <row r="406" ht="25" customHeight="1" x14ac:dyDescent="0.35"/>
    <row r="407" ht="25" customHeight="1" x14ac:dyDescent="0.35"/>
    <row r="408" ht="25" customHeight="1" x14ac:dyDescent="0.35"/>
    <row r="409" ht="25" customHeight="1" x14ac:dyDescent="0.35"/>
    <row r="410" ht="25" customHeight="1" x14ac:dyDescent="0.35"/>
    <row r="411" ht="25" customHeight="1" x14ac:dyDescent="0.35"/>
    <row r="412" ht="25" customHeight="1" x14ac:dyDescent="0.35"/>
    <row r="413" ht="25" customHeight="1" x14ac:dyDescent="0.35"/>
    <row r="414" ht="25" customHeight="1" x14ac:dyDescent="0.35"/>
    <row r="415" ht="25" customHeight="1" x14ac:dyDescent="0.35"/>
    <row r="416" ht="25" customHeight="1" x14ac:dyDescent="0.35"/>
    <row r="417" ht="25" customHeight="1" x14ac:dyDescent="0.35"/>
    <row r="418" ht="25" customHeight="1" x14ac:dyDescent="0.35"/>
    <row r="419" ht="25" customHeight="1" x14ac:dyDescent="0.35"/>
    <row r="420" ht="25" customHeight="1" x14ac:dyDescent="0.35"/>
    <row r="421" ht="25" customHeight="1" x14ac:dyDescent="0.35"/>
    <row r="422" ht="25" customHeight="1" x14ac:dyDescent="0.35"/>
    <row r="423" ht="25" customHeight="1" x14ac:dyDescent="0.35"/>
    <row r="424" ht="25" customHeight="1" x14ac:dyDescent="0.35"/>
    <row r="425" ht="25" customHeight="1" x14ac:dyDescent="0.35"/>
    <row r="426" ht="25" customHeight="1" x14ac:dyDescent="0.35"/>
    <row r="427" ht="25" customHeight="1" x14ac:dyDescent="0.35"/>
    <row r="428" ht="25" customHeight="1" x14ac:dyDescent="0.35"/>
    <row r="429" ht="25" customHeight="1" x14ac:dyDescent="0.35"/>
    <row r="430" ht="25" customHeight="1" x14ac:dyDescent="0.35"/>
    <row r="431" ht="25" customHeight="1" x14ac:dyDescent="0.35"/>
    <row r="432" ht="25" customHeight="1" x14ac:dyDescent="0.35"/>
    <row r="433" ht="25" customHeight="1" x14ac:dyDescent="0.35"/>
    <row r="434" ht="25" customHeight="1" x14ac:dyDescent="0.35"/>
    <row r="435" ht="25" customHeight="1" x14ac:dyDescent="0.35"/>
    <row r="436" ht="25" customHeight="1" x14ac:dyDescent="0.35"/>
    <row r="437" ht="25" customHeight="1" x14ac:dyDescent="0.35"/>
    <row r="438" ht="25" customHeight="1" x14ac:dyDescent="0.35"/>
    <row r="439" ht="25" customHeight="1" x14ac:dyDescent="0.35"/>
    <row r="440" ht="25" customHeight="1" x14ac:dyDescent="0.35"/>
    <row r="441" ht="25" customHeight="1" x14ac:dyDescent="0.35"/>
    <row r="442" ht="25" customHeight="1" x14ac:dyDescent="0.35"/>
    <row r="443" ht="25" customHeight="1" x14ac:dyDescent="0.35"/>
    <row r="444" ht="25" customHeight="1" x14ac:dyDescent="0.35"/>
    <row r="445" ht="25" customHeight="1" x14ac:dyDescent="0.35"/>
    <row r="446" ht="25" customHeight="1" x14ac:dyDescent="0.35"/>
    <row r="447" ht="25" customHeight="1" x14ac:dyDescent="0.35"/>
    <row r="448" ht="25" customHeight="1" x14ac:dyDescent="0.35"/>
    <row r="449" ht="25" customHeight="1" x14ac:dyDescent="0.35"/>
    <row r="450" ht="25" customHeight="1" x14ac:dyDescent="0.35"/>
    <row r="451" ht="25" customHeight="1" x14ac:dyDescent="0.35"/>
    <row r="452" ht="25" customHeight="1" x14ac:dyDescent="0.35"/>
    <row r="453" ht="25" customHeight="1" x14ac:dyDescent="0.35"/>
    <row r="454" ht="25" customHeight="1" x14ac:dyDescent="0.35"/>
    <row r="455" ht="25" customHeight="1" x14ac:dyDescent="0.35"/>
    <row r="456" ht="25" customHeight="1" x14ac:dyDescent="0.35"/>
    <row r="457" ht="25" customHeight="1" x14ac:dyDescent="0.35"/>
    <row r="458" ht="25" customHeight="1" x14ac:dyDescent="0.35"/>
    <row r="459" ht="25" customHeight="1" x14ac:dyDescent="0.35"/>
    <row r="460" ht="25" customHeight="1" x14ac:dyDescent="0.35"/>
    <row r="461" ht="25" customHeight="1" x14ac:dyDescent="0.35"/>
    <row r="462" ht="25" customHeight="1" x14ac:dyDescent="0.35"/>
    <row r="463" ht="25" customHeight="1" x14ac:dyDescent="0.35"/>
    <row r="464" ht="25" customHeight="1" x14ac:dyDescent="0.35"/>
    <row r="465" ht="25" customHeight="1" x14ac:dyDescent="0.35"/>
    <row r="466" ht="25" customHeight="1" x14ac:dyDescent="0.35"/>
    <row r="467" ht="25" customHeight="1" x14ac:dyDescent="0.35"/>
    <row r="468" ht="25" customHeight="1" x14ac:dyDescent="0.35"/>
    <row r="469" ht="25" customHeight="1" x14ac:dyDescent="0.35"/>
    <row r="470" ht="25" customHeight="1" x14ac:dyDescent="0.35"/>
    <row r="471" ht="25" customHeight="1" x14ac:dyDescent="0.35"/>
    <row r="472" ht="25" customHeight="1" x14ac:dyDescent="0.35"/>
    <row r="473" ht="25" customHeight="1" x14ac:dyDescent="0.35"/>
    <row r="474" ht="25" customHeight="1" x14ac:dyDescent="0.35"/>
    <row r="475" ht="25" customHeight="1" x14ac:dyDescent="0.35"/>
    <row r="476" ht="25" customHeight="1" x14ac:dyDescent="0.35"/>
    <row r="477" ht="25" customHeight="1" x14ac:dyDescent="0.35"/>
    <row r="478" ht="25" customHeight="1" x14ac:dyDescent="0.35"/>
    <row r="479" ht="25" customHeight="1" x14ac:dyDescent="0.35"/>
    <row r="480" ht="25" customHeight="1" x14ac:dyDescent="0.35"/>
    <row r="481" ht="25" customHeight="1" x14ac:dyDescent="0.35"/>
    <row r="482" ht="25" customHeight="1" x14ac:dyDescent="0.35"/>
    <row r="483" ht="25" customHeight="1" x14ac:dyDescent="0.35"/>
    <row r="484" ht="25" customHeight="1" x14ac:dyDescent="0.35"/>
    <row r="485" ht="25" customHeight="1" x14ac:dyDescent="0.35"/>
    <row r="486" ht="25" customHeight="1" x14ac:dyDescent="0.35"/>
    <row r="487" ht="25" customHeight="1" x14ac:dyDescent="0.35"/>
    <row r="488" ht="25" customHeight="1" x14ac:dyDescent="0.35"/>
    <row r="489" ht="25" customHeight="1" x14ac:dyDescent="0.35"/>
    <row r="490" ht="25" customHeight="1" x14ac:dyDescent="0.35"/>
    <row r="491" ht="25" customHeight="1" x14ac:dyDescent="0.35"/>
    <row r="492" ht="25" customHeight="1" x14ac:dyDescent="0.35"/>
    <row r="493" ht="25" customHeight="1" x14ac:dyDescent="0.35"/>
    <row r="494" ht="25" customHeight="1" x14ac:dyDescent="0.35"/>
    <row r="495" ht="25" customHeight="1" x14ac:dyDescent="0.35"/>
    <row r="496" ht="25" customHeight="1" x14ac:dyDescent="0.35"/>
    <row r="497" ht="25" customHeight="1" x14ac:dyDescent="0.35"/>
    <row r="498" ht="25" customHeight="1" x14ac:dyDescent="0.35"/>
    <row r="499" ht="25" customHeight="1" x14ac:dyDescent="0.35"/>
    <row r="500" ht="25" customHeight="1" x14ac:dyDescent="0.35"/>
    <row r="501" ht="25" customHeight="1" x14ac:dyDescent="0.35"/>
    <row r="502" ht="25" customHeight="1" x14ac:dyDescent="0.35"/>
    <row r="503" ht="25" customHeight="1" x14ac:dyDescent="0.35"/>
    <row r="504" ht="25" customHeight="1" x14ac:dyDescent="0.35"/>
    <row r="505" ht="25" customHeight="1" x14ac:dyDescent="0.35"/>
    <row r="506" ht="25" customHeight="1" x14ac:dyDescent="0.35"/>
    <row r="507" ht="25" customHeight="1" x14ac:dyDescent="0.35"/>
    <row r="508" ht="25" customHeight="1" x14ac:dyDescent="0.35"/>
    <row r="509" ht="25" customHeight="1" x14ac:dyDescent="0.35"/>
    <row r="510" ht="25" customHeight="1" x14ac:dyDescent="0.35"/>
    <row r="511" ht="25" customHeight="1" x14ac:dyDescent="0.35"/>
    <row r="512" ht="25" customHeight="1" x14ac:dyDescent="0.35"/>
    <row r="513" ht="25" customHeight="1" x14ac:dyDescent="0.35"/>
    <row r="514" ht="25" customHeight="1" x14ac:dyDescent="0.35"/>
    <row r="515" ht="25" customHeight="1" x14ac:dyDescent="0.35"/>
    <row r="516" ht="25" customHeight="1" x14ac:dyDescent="0.35"/>
    <row r="517" ht="25" customHeight="1" x14ac:dyDescent="0.35"/>
    <row r="518" ht="25" customHeight="1" x14ac:dyDescent="0.35"/>
    <row r="519" ht="25" customHeight="1" x14ac:dyDescent="0.35"/>
    <row r="520" ht="25" customHeight="1" x14ac:dyDescent="0.35"/>
    <row r="521" ht="25" customHeight="1" x14ac:dyDescent="0.35"/>
    <row r="522" ht="25" customHeight="1" x14ac:dyDescent="0.35"/>
    <row r="523" ht="25" customHeight="1" x14ac:dyDescent="0.35"/>
    <row r="524" ht="25" customHeight="1" x14ac:dyDescent="0.35"/>
    <row r="525" ht="25" customHeight="1" x14ac:dyDescent="0.35"/>
    <row r="526" ht="25" customHeight="1" x14ac:dyDescent="0.35"/>
    <row r="527" ht="25" customHeight="1" x14ac:dyDescent="0.35"/>
    <row r="528" ht="25" customHeight="1" x14ac:dyDescent="0.35"/>
    <row r="529" ht="25" customHeight="1" x14ac:dyDescent="0.35"/>
    <row r="530" ht="25" customHeight="1" x14ac:dyDescent="0.35"/>
    <row r="531" ht="25" customHeight="1" x14ac:dyDescent="0.35"/>
    <row r="532" ht="25" customHeight="1" x14ac:dyDescent="0.35"/>
    <row r="533" ht="25" customHeight="1" x14ac:dyDescent="0.35"/>
    <row r="534" ht="25" customHeight="1" x14ac:dyDescent="0.35"/>
    <row r="535" ht="25" customHeight="1" x14ac:dyDescent="0.35"/>
    <row r="536" ht="25" customHeight="1" x14ac:dyDescent="0.35"/>
    <row r="537" ht="25" customHeight="1" x14ac:dyDescent="0.35"/>
    <row r="538" ht="25" customHeight="1" x14ac:dyDescent="0.35"/>
    <row r="539" ht="25" customHeight="1" x14ac:dyDescent="0.35"/>
    <row r="540" ht="25" customHeight="1" x14ac:dyDescent="0.35"/>
    <row r="541" ht="25" customHeight="1" x14ac:dyDescent="0.35"/>
    <row r="542" ht="25" customHeight="1" x14ac:dyDescent="0.35"/>
    <row r="543" ht="25" customHeight="1" x14ac:dyDescent="0.35"/>
    <row r="544" ht="25" customHeight="1" x14ac:dyDescent="0.35"/>
    <row r="545" ht="25" customHeight="1" x14ac:dyDescent="0.35"/>
    <row r="546" ht="25" customHeight="1" x14ac:dyDescent="0.35"/>
    <row r="547" ht="25" customHeight="1" x14ac:dyDescent="0.35"/>
    <row r="548" ht="25" customHeight="1" x14ac:dyDescent="0.35"/>
    <row r="549" ht="25" customHeight="1" x14ac:dyDescent="0.35"/>
    <row r="550" ht="25" customHeight="1" x14ac:dyDescent="0.35"/>
    <row r="551" ht="25" customHeight="1" x14ac:dyDescent="0.35"/>
    <row r="552" ht="25" customHeight="1" x14ac:dyDescent="0.35"/>
    <row r="553" ht="25" customHeight="1" x14ac:dyDescent="0.35"/>
    <row r="554" ht="25" customHeight="1" x14ac:dyDescent="0.35"/>
    <row r="555" ht="25" customHeight="1" x14ac:dyDescent="0.35"/>
    <row r="556" ht="25" customHeight="1" x14ac:dyDescent="0.35"/>
    <row r="557" ht="25" customHeight="1" x14ac:dyDescent="0.35"/>
    <row r="558" ht="25" customHeight="1" x14ac:dyDescent="0.35"/>
    <row r="559" ht="25" customHeight="1" x14ac:dyDescent="0.35"/>
    <row r="560" ht="25" customHeight="1" x14ac:dyDescent="0.35"/>
    <row r="561" ht="25" customHeight="1" x14ac:dyDescent="0.35"/>
    <row r="562" ht="25" customHeight="1" x14ac:dyDescent="0.35"/>
    <row r="563" ht="25" customHeight="1" x14ac:dyDescent="0.35"/>
    <row r="564" ht="25" customHeight="1" x14ac:dyDescent="0.35"/>
    <row r="565" ht="25" customHeight="1" x14ac:dyDescent="0.35"/>
    <row r="566" ht="25" customHeight="1" x14ac:dyDescent="0.35"/>
    <row r="567" ht="25" customHeight="1" x14ac:dyDescent="0.35"/>
    <row r="568" ht="25" customHeight="1" x14ac:dyDescent="0.35"/>
    <row r="569" ht="25" customHeight="1" x14ac:dyDescent="0.35"/>
    <row r="570" ht="25" customHeight="1" x14ac:dyDescent="0.35"/>
    <row r="571" ht="25" customHeight="1" x14ac:dyDescent="0.35"/>
    <row r="572" ht="25" customHeight="1" x14ac:dyDescent="0.35"/>
    <row r="573" ht="25" customHeight="1" x14ac:dyDescent="0.35"/>
    <row r="574" ht="25" customHeight="1" x14ac:dyDescent="0.35"/>
    <row r="575" ht="25" customHeight="1" x14ac:dyDescent="0.35"/>
    <row r="576" ht="25" customHeight="1" x14ac:dyDescent="0.35"/>
    <row r="577" ht="25" customHeight="1" x14ac:dyDescent="0.35"/>
    <row r="578" ht="25" customHeight="1" x14ac:dyDescent="0.35"/>
    <row r="579" ht="25" customHeight="1" x14ac:dyDescent="0.35"/>
    <row r="580" ht="25" customHeight="1" x14ac:dyDescent="0.35"/>
    <row r="581" ht="25" customHeight="1" x14ac:dyDescent="0.35"/>
    <row r="582" ht="25" customHeight="1" x14ac:dyDescent="0.35"/>
    <row r="583" ht="25" customHeight="1" x14ac:dyDescent="0.35"/>
    <row r="584" ht="25" customHeight="1" x14ac:dyDescent="0.35"/>
    <row r="585" ht="25" customHeight="1" x14ac:dyDescent="0.35"/>
    <row r="586" ht="25" customHeight="1" x14ac:dyDescent="0.35"/>
    <row r="587" ht="25" customHeight="1" x14ac:dyDescent="0.35"/>
    <row r="588" ht="25" customHeight="1" x14ac:dyDescent="0.35"/>
    <row r="589" ht="25" customHeight="1" x14ac:dyDescent="0.35"/>
    <row r="590" ht="25" customHeight="1" x14ac:dyDescent="0.35"/>
    <row r="591" ht="25" customHeight="1" x14ac:dyDescent="0.35"/>
    <row r="592" ht="25" customHeight="1" x14ac:dyDescent="0.35"/>
    <row r="593" ht="25" customHeight="1" x14ac:dyDescent="0.35"/>
    <row r="594" ht="25" customHeight="1" x14ac:dyDescent="0.35"/>
    <row r="595" ht="25" customHeight="1" x14ac:dyDescent="0.35"/>
    <row r="596" ht="25" customHeight="1" x14ac:dyDescent="0.35"/>
    <row r="597" ht="25" customHeight="1" x14ac:dyDescent="0.35"/>
    <row r="598" ht="25" customHeight="1" x14ac:dyDescent="0.35"/>
    <row r="599" ht="25" customHeight="1" x14ac:dyDescent="0.35"/>
    <row r="600" ht="25" customHeight="1" x14ac:dyDescent="0.35"/>
    <row r="601" ht="25" customHeight="1" x14ac:dyDescent="0.35"/>
    <row r="602" ht="25" customHeight="1" x14ac:dyDescent="0.35"/>
    <row r="603" ht="25" customHeight="1" x14ac:dyDescent="0.35"/>
    <row r="604" ht="25" customHeight="1" x14ac:dyDescent="0.35"/>
    <row r="605" ht="25" customHeight="1" x14ac:dyDescent="0.35"/>
    <row r="606" ht="25" customHeight="1" x14ac:dyDescent="0.35"/>
    <row r="607" ht="25" customHeight="1" x14ac:dyDescent="0.35"/>
    <row r="608" ht="25" customHeight="1" x14ac:dyDescent="0.35"/>
    <row r="609" ht="25" customHeight="1" x14ac:dyDescent="0.35"/>
    <row r="610" ht="25" customHeight="1" x14ac:dyDescent="0.35"/>
    <row r="611" ht="25" customHeight="1" x14ac:dyDescent="0.35"/>
    <row r="612" ht="25" customHeight="1" x14ac:dyDescent="0.35"/>
    <row r="613" ht="25" customHeight="1" x14ac:dyDescent="0.35"/>
    <row r="614" ht="25" customHeight="1" x14ac:dyDescent="0.35"/>
    <row r="615" ht="25" customHeight="1" x14ac:dyDescent="0.35"/>
    <row r="616" ht="25" customHeight="1" x14ac:dyDescent="0.35"/>
    <row r="617" ht="25" customHeight="1" x14ac:dyDescent="0.35"/>
    <row r="618" ht="25" customHeight="1" x14ac:dyDescent="0.35"/>
    <row r="619" ht="25" customHeight="1" x14ac:dyDescent="0.35"/>
    <row r="620" ht="25" customHeight="1" x14ac:dyDescent="0.35"/>
    <row r="621" ht="25" customHeight="1" x14ac:dyDescent="0.35"/>
    <row r="622" ht="25" customHeight="1" x14ac:dyDescent="0.35"/>
    <row r="623" ht="25" customHeight="1" x14ac:dyDescent="0.35"/>
    <row r="624" ht="25" customHeight="1" x14ac:dyDescent="0.35"/>
    <row r="625" ht="25" customHeight="1" x14ac:dyDescent="0.35"/>
    <row r="626" ht="25" customHeight="1" x14ac:dyDescent="0.35"/>
    <row r="627" ht="25" customHeight="1" x14ac:dyDescent="0.35"/>
    <row r="628" ht="25" customHeight="1" x14ac:dyDescent="0.35"/>
    <row r="629" ht="25" customHeight="1" x14ac:dyDescent="0.35"/>
    <row r="630" ht="25" customHeight="1" x14ac:dyDescent="0.35"/>
    <row r="631" ht="25" customHeight="1" x14ac:dyDescent="0.35"/>
    <row r="632" ht="25" customHeight="1" x14ac:dyDescent="0.35"/>
    <row r="633" ht="25" customHeight="1" x14ac:dyDescent="0.35"/>
    <row r="634" ht="25" customHeight="1" x14ac:dyDescent="0.35"/>
    <row r="635" ht="25" customHeight="1" x14ac:dyDescent="0.35"/>
    <row r="636" ht="25" customHeight="1" x14ac:dyDescent="0.35"/>
    <row r="637" ht="25" customHeight="1" x14ac:dyDescent="0.35"/>
    <row r="638" ht="25" customHeight="1" x14ac:dyDescent="0.35"/>
    <row r="639" ht="25" customHeight="1" x14ac:dyDescent="0.35"/>
    <row r="640" ht="25" customHeight="1" x14ac:dyDescent="0.35"/>
    <row r="641" ht="25" customHeight="1" x14ac:dyDescent="0.35"/>
    <row r="642" ht="25" customHeight="1" x14ac:dyDescent="0.35"/>
    <row r="643" ht="25" customHeight="1" x14ac:dyDescent="0.35"/>
    <row r="644" ht="25" customHeight="1" x14ac:dyDescent="0.35"/>
    <row r="645" ht="25" customHeight="1" x14ac:dyDescent="0.35"/>
    <row r="646" ht="25" customHeight="1" x14ac:dyDescent="0.35"/>
    <row r="647" ht="25" customHeight="1" x14ac:dyDescent="0.35"/>
    <row r="648" ht="25" customHeight="1" x14ac:dyDescent="0.35"/>
    <row r="649" ht="25" customHeight="1" x14ac:dyDescent="0.35"/>
    <row r="650" ht="25" customHeight="1" x14ac:dyDescent="0.35"/>
    <row r="651" ht="25" customHeight="1" x14ac:dyDescent="0.35"/>
    <row r="652" ht="25" customHeight="1" x14ac:dyDescent="0.35"/>
    <row r="653" ht="25" customHeight="1" x14ac:dyDescent="0.35"/>
    <row r="654" ht="25" customHeight="1" x14ac:dyDescent="0.35"/>
    <row r="655" ht="25" customHeight="1" x14ac:dyDescent="0.35"/>
    <row r="656" ht="25" customHeight="1" x14ac:dyDescent="0.35"/>
    <row r="657" ht="25" customHeight="1" x14ac:dyDescent="0.35"/>
    <row r="658" ht="25" customHeight="1" x14ac:dyDescent="0.35"/>
    <row r="659" ht="25" customHeight="1" x14ac:dyDescent="0.35"/>
    <row r="660" ht="25" customHeight="1" x14ac:dyDescent="0.35"/>
    <row r="661" ht="25" customHeight="1" x14ac:dyDescent="0.35"/>
    <row r="662" ht="25" customHeight="1" x14ac:dyDescent="0.35"/>
    <row r="663" ht="25" customHeight="1" x14ac:dyDescent="0.35"/>
    <row r="664" ht="25" customHeight="1" x14ac:dyDescent="0.35"/>
    <row r="665" ht="25" customHeight="1" x14ac:dyDescent="0.35"/>
    <row r="666" ht="25" customHeight="1" x14ac:dyDescent="0.35"/>
    <row r="667" ht="25" customHeight="1" x14ac:dyDescent="0.35"/>
    <row r="668" ht="25" customHeight="1" x14ac:dyDescent="0.35"/>
    <row r="669" ht="25" customHeight="1" x14ac:dyDescent="0.35"/>
    <row r="670" ht="25" customHeight="1" x14ac:dyDescent="0.35"/>
    <row r="671" ht="25" customHeight="1" x14ac:dyDescent="0.35"/>
    <row r="672" ht="25" customHeight="1" x14ac:dyDescent="0.35"/>
    <row r="673" ht="25" customHeight="1" x14ac:dyDescent="0.35"/>
    <row r="674" ht="25" customHeight="1" x14ac:dyDescent="0.35"/>
    <row r="675" ht="25" customHeight="1" x14ac:dyDescent="0.35"/>
    <row r="676" ht="25" customHeight="1" x14ac:dyDescent="0.35"/>
    <row r="677" ht="25" customHeight="1" x14ac:dyDescent="0.35"/>
    <row r="678" ht="25" customHeight="1" x14ac:dyDescent="0.35"/>
    <row r="679" ht="25" customHeight="1" x14ac:dyDescent="0.35"/>
    <row r="680" ht="25" customHeight="1" x14ac:dyDescent="0.35"/>
    <row r="681" ht="25" customHeight="1" x14ac:dyDescent="0.35"/>
    <row r="682" ht="25" customHeight="1" x14ac:dyDescent="0.35"/>
    <row r="683" ht="25" customHeight="1" x14ac:dyDescent="0.35"/>
    <row r="684" ht="25" customHeight="1" x14ac:dyDescent="0.35"/>
    <row r="685" ht="25" customHeight="1" x14ac:dyDescent="0.35"/>
    <row r="686" ht="25" customHeight="1" x14ac:dyDescent="0.35"/>
    <row r="687" ht="25" customHeight="1" x14ac:dyDescent="0.35"/>
    <row r="688" ht="25" customHeight="1" x14ac:dyDescent="0.35"/>
    <row r="689" ht="25" customHeight="1" x14ac:dyDescent="0.35"/>
    <row r="690" ht="25" customHeight="1" x14ac:dyDescent="0.35"/>
    <row r="691" ht="25" customHeight="1" x14ac:dyDescent="0.35"/>
    <row r="692" ht="25" customHeight="1" x14ac:dyDescent="0.35"/>
    <row r="693" ht="25" customHeight="1" x14ac:dyDescent="0.35"/>
    <row r="694" ht="25" customHeight="1" x14ac:dyDescent="0.35"/>
    <row r="695" ht="25" customHeight="1" x14ac:dyDescent="0.35"/>
    <row r="696" ht="25" customHeight="1" x14ac:dyDescent="0.35"/>
    <row r="697" ht="25" customHeight="1" x14ac:dyDescent="0.35"/>
    <row r="698" ht="25" customHeight="1" x14ac:dyDescent="0.35"/>
    <row r="699" ht="25" customHeight="1" x14ac:dyDescent="0.35"/>
    <row r="700" ht="25" customHeight="1" x14ac:dyDescent="0.35"/>
    <row r="701" ht="25" customHeight="1" x14ac:dyDescent="0.35"/>
    <row r="702" ht="25" customHeight="1" x14ac:dyDescent="0.35"/>
    <row r="703" ht="25" customHeight="1" x14ac:dyDescent="0.35"/>
    <row r="704" ht="25" customHeight="1" x14ac:dyDescent="0.35"/>
    <row r="705" ht="25" customHeight="1" x14ac:dyDescent="0.35"/>
    <row r="706" ht="25" customHeight="1" x14ac:dyDescent="0.35"/>
    <row r="707" ht="25" customHeight="1" x14ac:dyDescent="0.35"/>
    <row r="708" ht="25" customHeight="1" x14ac:dyDescent="0.35"/>
    <row r="709" ht="25" customHeight="1" x14ac:dyDescent="0.35"/>
    <row r="710" ht="25" customHeight="1" x14ac:dyDescent="0.35"/>
    <row r="711" ht="25" customHeight="1" x14ac:dyDescent="0.35"/>
    <row r="712" ht="25" customHeight="1" x14ac:dyDescent="0.35"/>
    <row r="713" ht="25" customHeight="1" x14ac:dyDescent="0.35"/>
    <row r="714" ht="25" customHeight="1" x14ac:dyDescent="0.35"/>
    <row r="715" ht="25" customHeight="1" x14ac:dyDescent="0.35"/>
    <row r="716" ht="25" customHeight="1" x14ac:dyDescent="0.35"/>
    <row r="717" ht="25" customHeight="1" x14ac:dyDescent="0.35"/>
    <row r="718" ht="25" customHeight="1" x14ac:dyDescent="0.35"/>
    <row r="719" ht="25" customHeight="1" x14ac:dyDescent="0.35"/>
    <row r="720" ht="25" customHeight="1" x14ac:dyDescent="0.35"/>
    <row r="721" ht="25" customHeight="1" x14ac:dyDescent="0.35"/>
    <row r="722" ht="25" customHeight="1" x14ac:dyDescent="0.35"/>
    <row r="723" ht="25" customHeight="1" x14ac:dyDescent="0.35"/>
    <row r="724" ht="25" customHeight="1" x14ac:dyDescent="0.35"/>
    <row r="725" ht="25" customHeight="1" x14ac:dyDescent="0.35"/>
    <row r="726" ht="25" customHeight="1" x14ac:dyDescent="0.35"/>
    <row r="727" ht="25" customHeight="1" x14ac:dyDescent="0.35"/>
    <row r="728" ht="25" customHeight="1" x14ac:dyDescent="0.35"/>
    <row r="729" ht="25" customHeight="1" x14ac:dyDescent="0.35"/>
    <row r="730" ht="25" customHeight="1" x14ac:dyDescent="0.35"/>
    <row r="731" ht="25" customHeight="1" x14ac:dyDescent="0.35"/>
    <row r="732" ht="25" customHeight="1" x14ac:dyDescent="0.35"/>
    <row r="733" ht="25" customHeight="1" x14ac:dyDescent="0.35"/>
    <row r="734" ht="25" customHeight="1" x14ac:dyDescent="0.35"/>
    <row r="735" ht="25" customHeight="1" x14ac:dyDescent="0.35"/>
    <row r="736" ht="25" customHeight="1" x14ac:dyDescent="0.35"/>
    <row r="737" ht="25" customHeight="1" x14ac:dyDescent="0.35"/>
    <row r="738" ht="25" customHeight="1" x14ac:dyDescent="0.35"/>
    <row r="739" ht="25" customHeight="1" x14ac:dyDescent="0.35"/>
    <row r="740" ht="25" customHeight="1" x14ac:dyDescent="0.35"/>
    <row r="741" ht="25" customHeight="1" x14ac:dyDescent="0.35"/>
    <row r="742" ht="25" customHeight="1" x14ac:dyDescent="0.35"/>
    <row r="743" ht="25" customHeight="1" x14ac:dyDescent="0.35"/>
    <row r="744" ht="25" customHeight="1" x14ac:dyDescent="0.35"/>
    <row r="745" ht="25" customHeight="1" x14ac:dyDescent="0.35"/>
    <row r="746" ht="25" customHeight="1" x14ac:dyDescent="0.35"/>
    <row r="747" ht="25" customHeight="1" x14ac:dyDescent="0.35"/>
    <row r="748" ht="25" customHeight="1" x14ac:dyDescent="0.35"/>
    <row r="749" ht="25" customHeight="1" x14ac:dyDescent="0.35"/>
    <row r="750" ht="25" customHeight="1" x14ac:dyDescent="0.35"/>
    <row r="751" ht="25" customHeight="1" x14ac:dyDescent="0.35"/>
    <row r="752" ht="25" customHeight="1" x14ac:dyDescent="0.35"/>
    <row r="753" ht="25" customHeight="1" x14ac:dyDescent="0.35"/>
    <row r="754" ht="25" customHeight="1" x14ac:dyDescent="0.35"/>
    <row r="755" ht="25" customHeight="1" x14ac:dyDescent="0.35"/>
    <row r="756" ht="25" customHeight="1" x14ac:dyDescent="0.35"/>
    <row r="757" ht="25" customHeight="1" x14ac:dyDescent="0.35"/>
    <row r="758" ht="25" customHeight="1" x14ac:dyDescent="0.35"/>
    <row r="759" ht="25" customHeight="1" x14ac:dyDescent="0.35"/>
    <row r="760" ht="25" customHeight="1" x14ac:dyDescent="0.35"/>
    <row r="761" ht="25" customHeight="1" x14ac:dyDescent="0.35"/>
    <row r="762" ht="25" customHeight="1" x14ac:dyDescent="0.35"/>
    <row r="763" ht="25" customHeight="1" x14ac:dyDescent="0.35"/>
    <row r="764" ht="25" customHeight="1" x14ac:dyDescent="0.35"/>
    <row r="765" ht="25" customHeight="1" x14ac:dyDescent="0.35"/>
    <row r="766" ht="25" customHeight="1" x14ac:dyDescent="0.35"/>
    <row r="767" ht="25" customHeight="1" x14ac:dyDescent="0.35"/>
    <row r="768" ht="25" customHeight="1" x14ac:dyDescent="0.35"/>
    <row r="769" ht="25" customHeight="1" x14ac:dyDescent="0.35"/>
    <row r="770" ht="25" customHeight="1" x14ac:dyDescent="0.35"/>
    <row r="771" ht="25" customHeight="1" x14ac:dyDescent="0.35"/>
    <row r="772" ht="25" customHeight="1" x14ac:dyDescent="0.35"/>
    <row r="773" ht="25" customHeight="1" x14ac:dyDescent="0.35"/>
    <row r="774" ht="25" customHeight="1" x14ac:dyDescent="0.35"/>
    <row r="775" ht="25" customHeight="1" x14ac:dyDescent="0.35"/>
    <row r="776" ht="25" customHeight="1" x14ac:dyDescent="0.35"/>
    <row r="777" ht="25" customHeight="1" x14ac:dyDescent="0.35"/>
    <row r="778" ht="25" customHeight="1" x14ac:dyDescent="0.35"/>
    <row r="779" ht="25" customHeight="1" x14ac:dyDescent="0.35"/>
    <row r="780" ht="25" customHeight="1" x14ac:dyDescent="0.35"/>
    <row r="781" ht="25" customHeight="1" x14ac:dyDescent="0.35"/>
    <row r="782" ht="25" customHeight="1" x14ac:dyDescent="0.35"/>
    <row r="783" ht="25" customHeight="1" x14ac:dyDescent="0.35"/>
  </sheetData>
  <sheetProtection algorithmName="SHA-512" hashValue="+br7UmKBZMl5D9WgR4bqXnluiNn2AXRQfyME06PDeqA04LTvaZJMRFhlsGJyptC3TrKT3sBq61/nHlOolrkkGw==" saltValue="ziGyVas7GB9Lw7oOQCf9KQ==" spinCount="100000" sheet="1" objects="1" scenarios="1" selectLockedCells="1"/>
  <mergeCells count="6">
    <mergeCell ref="B1:H1"/>
    <mergeCell ref="B2:D2"/>
    <mergeCell ref="E2:G5"/>
    <mergeCell ref="B3:D3"/>
    <mergeCell ref="B4:D4"/>
    <mergeCell ref="B5:D5"/>
  </mergeCells>
  <conditionalFormatting sqref="F7:F79">
    <cfRule type="containsText" dxfId="15" priority="1" operator="containsText" text="ERROR">
      <formula>NOT(ISERROR(SEARCH("ERROR",F7)))</formula>
    </cfRule>
  </conditionalFormatting>
  <conditionalFormatting sqref="G7:G79">
    <cfRule type="containsText" dxfId="14" priority="4" operator="containsText" text="worked">
      <formula>NOT(ISERROR(SEARCH("worked",G7)))</formula>
    </cfRule>
  </conditionalFormatting>
  <conditionalFormatting sqref="H7:H79">
    <cfRule type="cellIs" dxfId="13" priority="2" operator="greaterThan">
      <formula>2</formula>
    </cfRule>
    <cfRule type="cellIs" dxfId="12" priority="3" operator="lessThan">
      <formula>0</formula>
    </cfRule>
  </conditionalFormatting>
  <dataValidations count="3">
    <dataValidation type="whole" operator="lessThan" allowBlank="1" showInputMessage="1" showErrorMessage="1" sqref="B3:D3" xr:uid="{8B49B418-8AD7-4F9C-BF33-78D8886C13F6}">
      <formula1>999999999</formula1>
    </dataValidation>
    <dataValidation type="time" operator="lessThan" allowBlank="1" showInputMessage="1" showErrorMessage="1" sqref="D7:E79" xr:uid="{ABBA4E02-737A-4D48-B34B-E3AE7F719865}">
      <formula1>0.999988425925926</formula1>
    </dataValidation>
    <dataValidation type="decimal" errorStyle="warning" allowBlank="1" showInputMessage="1" showErrorMessage="1" errorTitle="BadInterval" error="The Duration of the Micro-Activity in INVALID_x000a_" sqref="H7" xr:uid="{FD868B13-8268-45C0-ADBC-5DE7DF1C93E4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01D1BB4A-6E9A-44BD-8D2C-BA5FFA67AAF6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G7" sqref="G7"/>
    </sheetView>
  </sheetViews>
  <sheetFormatPr defaultRowHeight="14.5" x14ac:dyDescent="0.35"/>
  <cols>
    <col min="1" max="1" width="37.26953125" customWidth="1"/>
    <col min="2" max="2" width="15.7265625" customWidth="1"/>
    <col min="3" max="3" width="15.7265625" style="2" customWidth="1"/>
    <col min="4" max="5" width="15.7265625" style="7" customWidth="1"/>
    <col min="6" max="6" width="15.7265625" customWidth="1"/>
    <col min="7" max="7" width="189.54296875" customWidth="1"/>
    <col min="8" max="8" width="15.7265625" customWidth="1"/>
    <col min="9" max="9" width="26" customWidth="1"/>
    <col min="10" max="33" width="15.7265625" customWidth="1"/>
  </cols>
  <sheetData>
    <row r="1" spans="1:9" ht="94.15" customHeight="1" thickBot="1" x14ac:dyDescent="0.4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5" customHeight="1" x14ac:dyDescent="0.35">
      <c r="A2" s="33" t="s">
        <v>6</v>
      </c>
      <c r="B2" s="46"/>
      <c r="C2" s="47"/>
      <c r="D2" s="48"/>
      <c r="E2" s="49" t="s">
        <v>23</v>
      </c>
      <c r="F2" s="50"/>
      <c r="G2" s="50"/>
    </row>
    <row r="3" spans="1:9" ht="25" customHeight="1" x14ac:dyDescent="0.35">
      <c r="A3" s="33" t="s">
        <v>5</v>
      </c>
      <c r="B3" s="55"/>
      <c r="C3" s="56"/>
      <c r="D3" s="57"/>
      <c r="E3" s="51"/>
      <c r="F3" s="52"/>
      <c r="G3" s="52"/>
    </row>
    <row r="4" spans="1:9" ht="25" customHeight="1" thickBot="1" x14ac:dyDescent="0.4">
      <c r="A4" s="33" t="s">
        <v>4</v>
      </c>
      <c r="B4" s="58" t="s">
        <v>9</v>
      </c>
      <c r="C4" s="59"/>
      <c r="D4" s="60"/>
      <c r="E4" s="51"/>
      <c r="F4" s="52"/>
      <c r="G4" s="52"/>
    </row>
    <row r="5" spans="1:9" ht="59.5" customHeight="1" thickBot="1" x14ac:dyDescent="0.4">
      <c r="A5" s="34" t="s">
        <v>11</v>
      </c>
      <c r="B5" s="58" t="s">
        <v>12</v>
      </c>
      <c r="C5" s="59"/>
      <c r="D5" s="60"/>
      <c r="E5" s="53"/>
      <c r="F5" s="54"/>
      <c r="G5" s="54"/>
    </row>
    <row r="6" spans="1:9" s="1" customFormat="1" ht="25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35">
      <c r="A7" s="30"/>
      <c r="B7" s="12"/>
      <c r="C7" s="18"/>
      <c r="D7" s="19"/>
      <c r="E7" s="20"/>
      <c r="F7" s="40" t="str">
        <f>IF(AND(NOT(ISBLANK($D7)),NOT(ISBLANK($E7)),OR($H7&lt;0,$H7&gt;2)),"ERROR","")</f>
        <v/>
      </c>
      <c r="G7" s="15"/>
      <c r="H7" s="11">
        <f>IF(E7&gt;=D7, E7-D7, 1-D7+E7)*24</f>
        <v>0</v>
      </c>
      <c r="I7" s="9"/>
    </row>
    <row r="8" spans="1:9" ht="25" customHeight="1" x14ac:dyDescent="0.45">
      <c r="A8" s="31"/>
      <c r="B8" s="13"/>
      <c r="C8" s="21"/>
      <c r="D8" s="19"/>
      <c r="E8" s="22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5" customHeight="1" x14ac:dyDescent="0.4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5" customHeight="1" x14ac:dyDescent="0.4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5" customHeight="1" x14ac:dyDescent="0.4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5" customHeight="1" x14ac:dyDescent="0.4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5" customHeight="1" x14ac:dyDescent="0.4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5" customHeight="1" x14ac:dyDescent="0.4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5" customHeight="1" x14ac:dyDescent="0.4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5" customHeight="1" x14ac:dyDescent="0.4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5" customHeight="1" x14ac:dyDescent="0.4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5" customHeight="1" x14ac:dyDescent="0.4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5" customHeight="1" x14ac:dyDescent="0.4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5" customHeight="1" x14ac:dyDescent="0.4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5" customHeight="1" x14ac:dyDescent="0.4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5" customHeight="1" x14ac:dyDescent="0.4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5" customHeight="1" x14ac:dyDescent="0.4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5" customHeight="1" x14ac:dyDescent="0.4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5" customHeight="1" x14ac:dyDescent="0.4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5" customHeight="1" x14ac:dyDescent="0.4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5" customHeight="1" x14ac:dyDescent="0.4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5" customHeight="1" x14ac:dyDescent="0.4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5" customHeight="1" x14ac:dyDescent="0.4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5" customHeight="1" x14ac:dyDescent="0.4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5" customHeight="1" x14ac:dyDescent="0.4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5" customHeight="1" x14ac:dyDescent="0.4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5" customHeight="1" x14ac:dyDescent="0.4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5" customHeight="1" x14ac:dyDescent="0.4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5" customHeight="1" x14ac:dyDescent="0.4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5" customHeight="1" x14ac:dyDescent="0.4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5" customHeight="1" x14ac:dyDescent="0.4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5" customHeight="1" x14ac:dyDescent="0.4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5" customHeight="1" x14ac:dyDescent="0.4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5" customHeight="1" x14ac:dyDescent="0.4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5" customHeight="1" x14ac:dyDescent="0.4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5" customHeight="1" x14ac:dyDescent="0.4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5" customHeight="1" x14ac:dyDescent="0.4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5" customHeight="1" x14ac:dyDescent="0.4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5" customHeight="1" x14ac:dyDescent="0.4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5" customHeight="1" x14ac:dyDescent="0.4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5" customHeight="1" x14ac:dyDescent="0.4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5" customHeight="1" x14ac:dyDescent="0.4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5" customHeight="1" x14ac:dyDescent="0.4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5" customHeight="1" x14ac:dyDescent="0.4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5" customHeight="1" x14ac:dyDescent="0.4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5" customHeight="1" x14ac:dyDescent="0.4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5" customHeight="1" x14ac:dyDescent="0.4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5" customHeight="1" x14ac:dyDescent="0.4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5" customHeight="1" x14ac:dyDescent="0.4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5" customHeight="1" x14ac:dyDescent="0.4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5" customHeight="1" x14ac:dyDescent="0.4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5" customHeight="1" x14ac:dyDescent="0.4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5" customHeight="1" x14ac:dyDescent="0.4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5" customHeight="1" x14ac:dyDescent="0.4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5" customHeight="1" x14ac:dyDescent="0.4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5" customHeight="1" x14ac:dyDescent="0.4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5" customHeight="1" x14ac:dyDescent="0.4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5" customHeight="1" x14ac:dyDescent="0.4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5" customHeight="1" x14ac:dyDescent="0.4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5" customHeight="1" x14ac:dyDescent="0.4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5" customHeight="1" x14ac:dyDescent="0.4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5" customHeight="1" x14ac:dyDescent="0.4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5" customHeight="1" x14ac:dyDescent="0.4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5" customHeight="1" x14ac:dyDescent="0.4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5" customHeight="1" x14ac:dyDescent="0.4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5" customHeight="1" x14ac:dyDescent="0.4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5" customHeight="1" x14ac:dyDescent="0.4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5" customHeight="1" x14ac:dyDescent="0.4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5" customHeight="1" x14ac:dyDescent="0.4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5" customHeight="1" x14ac:dyDescent="0.4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5" customHeight="1" x14ac:dyDescent="0.4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5" customHeight="1" x14ac:dyDescent="0.4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5" customHeight="1" thickBot="1" x14ac:dyDescent="0.5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5" customHeight="1" x14ac:dyDescent="0.45">
      <c r="F80" s="29"/>
      <c r="H80" s="28">
        <f>SUM(H7:H79)</f>
        <v>0</v>
      </c>
    </row>
    <row r="81" ht="25" customHeight="1" x14ac:dyDescent="0.35"/>
    <row r="82" ht="25" customHeight="1" x14ac:dyDescent="0.35"/>
    <row r="83" ht="25" customHeight="1" x14ac:dyDescent="0.35"/>
    <row r="84" ht="25" customHeight="1" x14ac:dyDescent="0.35"/>
    <row r="85" ht="25" customHeight="1" x14ac:dyDescent="0.35"/>
    <row r="86" ht="25" customHeight="1" x14ac:dyDescent="0.35"/>
    <row r="87" ht="25" customHeight="1" x14ac:dyDescent="0.35"/>
    <row r="88" ht="25" customHeight="1" x14ac:dyDescent="0.35"/>
    <row r="89" ht="25" customHeight="1" x14ac:dyDescent="0.35"/>
    <row r="90" ht="25" customHeight="1" x14ac:dyDescent="0.35"/>
    <row r="91" ht="25" customHeight="1" x14ac:dyDescent="0.35"/>
    <row r="92" ht="25" customHeight="1" x14ac:dyDescent="0.35"/>
    <row r="93" ht="25" customHeight="1" x14ac:dyDescent="0.35"/>
    <row r="94" ht="25" customHeight="1" x14ac:dyDescent="0.35"/>
    <row r="95" ht="25" customHeight="1" x14ac:dyDescent="0.35"/>
    <row r="96" ht="25" customHeight="1" x14ac:dyDescent="0.35"/>
    <row r="97" ht="25" customHeight="1" x14ac:dyDescent="0.35"/>
    <row r="98" ht="25" customHeight="1" x14ac:dyDescent="0.35"/>
    <row r="99" ht="25" customHeight="1" x14ac:dyDescent="0.35"/>
    <row r="100" ht="25" customHeight="1" x14ac:dyDescent="0.35"/>
    <row r="101" ht="25" customHeight="1" x14ac:dyDescent="0.35"/>
    <row r="102" ht="25" customHeight="1" x14ac:dyDescent="0.35"/>
    <row r="103" ht="25" customHeight="1" x14ac:dyDescent="0.35"/>
    <row r="104" ht="25" customHeight="1" x14ac:dyDescent="0.35"/>
    <row r="105" ht="25" customHeight="1" x14ac:dyDescent="0.35"/>
    <row r="106" ht="25" customHeight="1" x14ac:dyDescent="0.35"/>
    <row r="107" ht="25" customHeight="1" x14ac:dyDescent="0.35"/>
    <row r="108" ht="25" customHeight="1" x14ac:dyDescent="0.35"/>
    <row r="109" ht="25" customHeight="1" x14ac:dyDescent="0.35"/>
    <row r="110" ht="25" customHeight="1" x14ac:dyDescent="0.35"/>
    <row r="111" ht="25" customHeight="1" x14ac:dyDescent="0.35"/>
    <row r="112" ht="25" customHeight="1" x14ac:dyDescent="0.35"/>
    <row r="113" ht="25" customHeight="1" x14ac:dyDescent="0.35"/>
    <row r="114" ht="25" customHeight="1" x14ac:dyDescent="0.35"/>
    <row r="115" ht="25" customHeight="1" x14ac:dyDescent="0.35"/>
    <row r="116" ht="25" customHeight="1" x14ac:dyDescent="0.35"/>
    <row r="117" ht="25" customHeight="1" x14ac:dyDescent="0.35"/>
    <row r="118" ht="25" customHeight="1" x14ac:dyDescent="0.35"/>
    <row r="119" ht="25" customHeight="1" x14ac:dyDescent="0.35"/>
    <row r="120" ht="25" customHeight="1" x14ac:dyDescent="0.35"/>
    <row r="121" ht="25" customHeight="1" x14ac:dyDescent="0.35"/>
    <row r="122" ht="25" customHeight="1" x14ac:dyDescent="0.35"/>
    <row r="123" ht="25" customHeight="1" x14ac:dyDescent="0.35"/>
    <row r="124" ht="25" customHeight="1" x14ac:dyDescent="0.35"/>
    <row r="125" ht="25" customHeight="1" x14ac:dyDescent="0.35"/>
    <row r="126" ht="25" customHeight="1" x14ac:dyDescent="0.35"/>
    <row r="127" ht="25" customHeight="1" x14ac:dyDescent="0.35"/>
    <row r="128" ht="25" customHeight="1" x14ac:dyDescent="0.35"/>
    <row r="129" ht="25" customHeight="1" x14ac:dyDescent="0.35"/>
    <row r="130" ht="25" customHeight="1" x14ac:dyDescent="0.35"/>
    <row r="131" ht="25" customHeight="1" x14ac:dyDescent="0.35"/>
    <row r="132" ht="25" customHeight="1" x14ac:dyDescent="0.35"/>
    <row r="133" ht="25" customHeight="1" x14ac:dyDescent="0.35"/>
    <row r="134" ht="25" customHeight="1" x14ac:dyDescent="0.35"/>
    <row r="135" ht="25" customHeight="1" x14ac:dyDescent="0.35"/>
    <row r="136" ht="25" customHeight="1" x14ac:dyDescent="0.35"/>
    <row r="137" ht="25" customHeight="1" x14ac:dyDescent="0.35"/>
    <row r="138" ht="25" customHeight="1" x14ac:dyDescent="0.35"/>
    <row r="139" ht="25" customHeight="1" x14ac:dyDescent="0.35"/>
    <row r="140" ht="25" customHeight="1" x14ac:dyDescent="0.35"/>
    <row r="141" ht="25" customHeight="1" x14ac:dyDescent="0.35"/>
    <row r="142" ht="25" customHeight="1" x14ac:dyDescent="0.35"/>
    <row r="143" ht="25" customHeight="1" x14ac:dyDescent="0.35"/>
    <row r="144" ht="25" customHeight="1" x14ac:dyDescent="0.35"/>
    <row r="145" ht="25" customHeight="1" x14ac:dyDescent="0.35"/>
    <row r="146" ht="25" customHeight="1" x14ac:dyDescent="0.35"/>
    <row r="147" ht="25" customHeight="1" x14ac:dyDescent="0.35"/>
    <row r="148" ht="25" customHeight="1" x14ac:dyDescent="0.35"/>
    <row r="149" ht="25" customHeight="1" x14ac:dyDescent="0.35"/>
    <row r="150" ht="25" customHeight="1" x14ac:dyDescent="0.35"/>
    <row r="151" ht="25" customHeight="1" x14ac:dyDescent="0.35"/>
    <row r="152" ht="25" customHeight="1" x14ac:dyDescent="0.35"/>
    <row r="153" ht="25" customHeight="1" x14ac:dyDescent="0.35"/>
    <row r="154" ht="25" customHeight="1" x14ac:dyDescent="0.35"/>
    <row r="155" ht="25" customHeight="1" x14ac:dyDescent="0.35"/>
    <row r="156" ht="25" customHeight="1" x14ac:dyDescent="0.35"/>
    <row r="157" ht="25" customHeight="1" x14ac:dyDescent="0.35"/>
    <row r="158" ht="25" customHeight="1" x14ac:dyDescent="0.35"/>
    <row r="159" ht="25" customHeight="1" x14ac:dyDescent="0.35"/>
    <row r="160" ht="25" customHeight="1" x14ac:dyDescent="0.35"/>
    <row r="161" ht="25" customHeight="1" x14ac:dyDescent="0.35"/>
    <row r="162" ht="25" customHeight="1" x14ac:dyDescent="0.35"/>
    <row r="163" ht="25" customHeight="1" x14ac:dyDescent="0.35"/>
    <row r="164" ht="25" customHeight="1" x14ac:dyDescent="0.35"/>
    <row r="165" ht="25" customHeight="1" x14ac:dyDescent="0.35"/>
    <row r="166" ht="25" customHeight="1" x14ac:dyDescent="0.35"/>
    <row r="167" ht="25" customHeight="1" x14ac:dyDescent="0.35"/>
    <row r="168" ht="25" customHeight="1" x14ac:dyDescent="0.35"/>
    <row r="169" ht="25" customHeight="1" x14ac:dyDescent="0.35"/>
    <row r="170" ht="25" customHeight="1" x14ac:dyDescent="0.35"/>
    <row r="171" ht="25" customHeight="1" x14ac:dyDescent="0.35"/>
    <row r="172" ht="25" customHeight="1" x14ac:dyDescent="0.35"/>
    <row r="173" ht="25" customHeight="1" x14ac:dyDescent="0.35"/>
    <row r="174" ht="25" customHeight="1" x14ac:dyDescent="0.35"/>
    <row r="175" ht="25" customHeight="1" x14ac:dyDescent="0.35"/>
    <row r="176" ht="25" customHeight="1" x14ac:dyDescent="0.35"/>
    <row r="177" ht="25" customHeight="1" x14ac:dyDescent="0.35"/>
    <row r="178" ht="25" customHeight="1" x14ac:dyDescent="0.35"/>
    <row r="179" ht="25" customHeight="1" x14ac:dyDescent="0.35"/>
    <row r="180" ht="25" customHeight="1" x14ac:dyDescent="0.35"/>
    <row r="181" ht="25" customHeight="1" x14ac:dyDescent="0.35"/>
    <row r="182" ht="25" customHeight="1" x14ac:dyDescent="0.35"/>
    <row r="183" ht="25" customHeight="1" x14ac:dyDescent="0.35"/>
    <row r="184" ht="25" customHeight="1" x14ac:dyDescent="0.35"/>
    <row r="185" ht="25" customHeight="1" x14ac:dyDescent="0.35"/>
    <row r="186" ht="25" customHeight="1" x14ac:dyDescent="0.35"/>
    <row r="187" ht="25" customHeight="1" x14ac:dyDescent="0.35"/>
    <row r="188" ht="25" customHeight="1" x14ac:dyDescent="0.35"/>
    <row r="189" ht="25" customHeight="1" x14ac:dyDescent="0.35"/>
    <row r="190" ht="25" customHeight="1" x14ac:dyDescent="0.35"/>
    <row r="191" ht="25" customHeight="1" x14ac:dyDescent="0.35"/>
    <row r="192" ht="25" customHeight="1" x14ac:dyDescent="0.35"/>
    <row r="193" ht="25" customHeight="1" x14ac:dyDescent="0.35"/>
    <row r="194" ht="25" customHeight="1" x14ac:dyDescent="0.35"/>
    <row r="195" ht="25" customHeight="1" x14ac:dyDescent="0.35"/>
    <row r="196" ht="25" customHeight="1" x14ac:dyDescent="0.35"/>
    <row r="197" ht="25" customHeight="1" x14ac:dyDescent="0.35"/>
    <row r="198" ht="25" customHeight="1" x14ac:dyDescent="0.35"/>
    <row r="199" ht="25" customHeight="1" x14ac:dyDescent="0.35"/>
    <row r="200" ht="25" customHeight="1" x14ac:dyDescent="0.35"/>
    <row r="201" ht="25" customHeight="1" x14ac:dyDescent="0.35"/>
    <row r="202" ht="25" customHeight="1" x14ac:dyDescent="0.35"/>
    <row r="203" ht="25" customHeight="1" x14ac:dyDescent="0.35"/>
    <row r="204" ht="25" customHeight="1" x14ac:dyDescent="0.35"/>
    <row r="205" ht="25" customHeight="1" x14ac:dyDescent="0.35"/>
    <row r="206" ht="25" customHeight="1" x14ac:dyDescent="0.35"/>
    <row r="207" ht="25" customHeight="1" x14ac:dyDescent="0.35"/>
    <row r="208" ht="25" customHeight="1" x14ac:dyDescent="0.35"/>
    <row r="209" ht="25" customHeight="1" x14ac:dyDescent="0.35"/>
    <row r="210" ht="25" customHeight="1" x14ac:dyDescent="0.35"/>
    <row r="211" ht="25" customHeight="1" x14ac:dyDescent="0.35"/>
    <row r="212" ht="25" customHeight="1" x14ac:dyDescent="0.35"/>
    <row r="213" ht="25" customHeight="1" x14ac:dyDescent="0.35"/>
    <row r="214" ht="25" customHeight="1" x14ac:dyDescent="0.35"/>
    <row r="215" ht="25" customHeight="1" x14ac:dyDescent="0.35"/>
    <row r="216" ht="25" customHeight="1" x14ac:dyDescent="0.35"/>
    <row r="217" ht="25" customHeight="1" x14ac:dyDescent="0.35"/>
    <row r="218" ht="25" customHeight="1" x14ac:dyDescent="0.35"/>
    <row r="219" ht="25" customHeight="1" x14ac:dyDescent="0.35"/>
    <row r="220" ht="25" customHeight="1" x14ac:dyDescent="0.35"/>
    <row r="221" ht="25" customHeight="1" x14ac:dyDescent="0.35"/>
    <row r="222" ht="25" customHeight="1" x14ac:dyDescent="0.35"/>
    <row r="223" ht="25" customHeight="1" x14ac:dyDescent="0.35"/>
    <row r="224" ht="25" customHeight="1" x14ac:dyDescent="0.35"/>
    <row r="225" ht="25" customHeight="1" x14ac:dyDescent="0.35"/>
    <row r="226" ht="25" customHeight="1" x14ac:dyDescent="0.35"/>
    <row r="227" ht="25" customHeight="1" x14ac:dyDescent="0.35"/>
    <row r="228" ht="25" customHeight="1" x14ac:dyDescent="0.35"/>
    <row r="229" ht="25" customHeight="1" x14ac:dyDescent="0.35"/>
    <row r="230" ht="25" customHeight="1" x14ac:dyDescent="0.35"/>
    <row r="231" ht="25" customHeight="1" x14ac:dyDescent="0.35"/>
    <row r="232" ht="25" customHeight="1" x14ac:dyDescent="0.35"/>
    <row r="233" ht="25" customHeight="1" x14ac:dyDescent="0.35"/>
    <row r="234" ht="25" customHeight="1" x14ac:dyDescent="0.35"/>
    <row r="235" ht="25" customHeight="1" x14ac:dyDescent="0.35"/>
    <row r="236" ht="25" customHeight="1" x14ac:dyDescent="0.35"/>
    <row r="237" ht="25" customHeight="1" x14ac:dyDescent="0.35"/>
    <row r="238" ht="25" customHeight="1" x14ac:dyDescent="0.35"/>
    <row r="239" ht="25" customHeight="1" x14ac:dyDescent="0.35"/>
    <row r="240" ht="25" customHeight="1" x14ac:dyDescent="0.35"/>
    <row r="241" ht="25" customHeight="1" x14ac:dyDescent="0.35"/>
    <row r="242" ht="25" customHeight="1" x14ac:dyDescent="0.35"/>
    <row r="243" ht="25" customHeight="1" x14ac:dyDescent="0.35"/>
    <row r="244" ht="25" customHeight="1" x14ac:dyDescent="0.35"/>
    <row r="245" ht="25" customHeight="1" x14ac:dyDescent="0.35"/>
    <row r="246" ht="25" customHeight="1" x14ac:dyDescent="0.35"/>
    <row r="247" ht="25" customHeight="1" x14ac:dyDescent="0.35"/>
    <row r="248" ht="25" customHeight="1" x14ac:dyDescent="0.35"/>
    <row r="249" ht="25" customHeight="1" x14ac:dyDescent="0.35"/>
    <row r="250" ht="25" customHeight="1" x14ac:dyDescent="0.35"/>
    <row r="251" ht="25" customHeight="1" x14ac:dyDescent="0.35"/>
    <row r="252" ht="25" customHeight="1" x14ac:dyDescent="0.35"/>
    <row r="253" ht="25" customHeight="1" x14ac:dyDescent="0.35"/>
    <row r="254" ht="25" customHeight="1" x14ac:dyDescent="0.35"/>
    <row r="255" ht="25" customHeight="1" x14ac:dyDescent="0.35"/>
    <row r="256" ht="25" customHeight="1" x14ac:dyDescent="0.35"/>
    <row r="257" ht="25" customHeight="1" x14ac:dyDescent="0.35"/>
    <row r="258" ht="25" customHeight="1" x14ac:dyDescent="0.35"/>
    <row r="259" ht="25" customHeight="1" x14ac:dyDescent="0.35"/>
    <row r="260" ht="25" customHeight="1" x14ac:dyDescent="0.35"/>
    <row r="261" ht="25" customHeight="1" x14ac:dyDescent="0.35"/>
    <row r="262" ht="25" customHeight="1" x14ac:dyDescent="0.35"/>
    <row r="263" ht="25" customHeight="1" x14ac:dyDescent="0.35"/>
    <row r="264" ht="25" customHeight="1" x14ac:dyDescent="0.35"/>
    <row r="265" ht="25" customHeight="1" x14ac:dyDescent="0.35"/>
    <row r="266" ht="25" customHeight="1" x14ac:dyDescent="0.35"/>
    <row r="267" ht="25" customHeight="1" x14ac:dyDescent="0.35"/>
    <row r="268" ht="25" customHeight="1" x14ac:dyDescent="0.35"/>
    <row r="269" ht="25" customHeight="1" x14ac:dyDescent="0.35"/>
    <row r="270" ht="25" customHeight="1" x14ac:dyDescent="0.35"/>
    <row r="271" ht="25" customHeight="1" x14ac:dyDescent="0.35"/>
    <row r="272" ht="25" customHeight="1" x14ac:dyDescent="0.35"/>
    <row r="273" ht="25" customHeight="1" x14ac:dyDescent="0.35"/>
    <row r="274" ht="25" customHeight="1" x14ac:dyDescent="0.35"/>
    <row r="275" ht="25" customHeight="1" x14ac:dyDescent="0.35"/>
    <row r="276" ht="25" customHeight="1" x14ac:dyDescent="0.35"/>
    <row r="277" ht="25" customHeight="1" x14ac:dyDescent="0.35"/>
    <row r="278" ht="25" customHeight="1" x14ac:dyDescent="0.35"/>
    <row r="279" ht="25" customHeight="1" x14ac:dyDescent="0.35"/>
    <row r="280" ht="25" customHeight="1" x14ac:dyDescent="0.35"/>
    <row r="281" ht="25" customHeight="1" x14ac:dyDescent="0.35"/>
    <row r="282" ht="25" customHeight="1" x14ac:dyDescent="0.35"/>
    <row r="283" ht="25" customHeight="1" x14ac:dyDescent="0.35"/>
    <row r="284" ht="25" customHeight="1" x14ac:dyDescent="0.35"/>
    <row r="285" ht="25" customHeight="1" x14ac:dyDescent="0.35"/>
    <row r="286" ht="25" customHeight="1" x14ac:dyDescent="0.35"/>
    <row r="287" ht="25" customHeight="1" x14ac:dyDescent="0.35"/>
    <row r="288" ht="25" customHeight="1" x14ac:dyDescent="0.35"/>
    <row r="289" ht="25" customHeight="1" x14ac:dyDescent="0.35"/>
    <row r="290" ht="25" customHeight="1" x14ac:dyDescent="0.35"/>
    <row r="291" ht="25" customHeight="1" x14ac:dyDescent="0.35"/>
    <row r="292" ht="25" customHeight="1" x14ac:dyDescent="0.35"/>
    <row r="293" ht="25" customHeight="1" x14ac:dyDescent="0.35"/>
    <row r="294" ht="25" customHeight="1" x14ac:dyDescent="0.35"/>
    <row r="295" ht="25" customHeight="1" x14ac:dyDescent="0.35"/>
    <row r="296" ht="25" customHeight="1" x14ac:dyDescent="0.35"/>
    <row r="297" ht="25" customHeight="1" x14ac:dyDescent="0.35"/>
    <row r="298" ht="25" customHeight="1" x14ac:dyDescent="0.35"/>
    <row r="299" ht="25" customHeight="1" x14ac:dyDescent="0.35"/>
    <row r="300" ht="25" customHeight="1" x14ac:dyDescent="0.35"/>
    <row r="301" ht="25" customHeight="1" x14ac:dyDescent="0.35"/>
    <row r="302" ht="25" customHeight="1" x14ac:dyDescent="0.35"/>
    <row r="303" ht="25" customHeight="1" x14ac:dyDescent="0.35"/>
    <row r="304" ht="25" customHeight="1" x14ac:dyDescent="0.35"/>
    <row r="305" ht="25" customHeight="1" x14ac:dyDescent="0.35"/>
    <row r="306" ht="25" customHeight="1" x14ac:dyDescent="0.35"/>
    <row r="307" ht="25" customHeight="1" x14ac:dyDescent="0.35"/>
    <row r="308" ht="25" customHeight="1" x14ac:dyDescent="0.35"/>
    <row r="309" ht="25" customHeight="1" x14ac:dyDescent="0.35"/>
    <row r="310" ht="25" customHeight="1" x14ac:dyDescent="0.35"/>
    <row r="311" ht="25" customHeight="1" x14ac:dyDescent="0.35"/>
    <row r="312" ht="25" customHeight="1" x14ac:dyDescent="0.35"/>
    <row r="313" ht="25" customHeight="1" x14ac:dyDescent="0.35"/>
    <row r="314" ht="25" customHeight="1" x14ac:dyDescent="0.35"/>
    <row r="315" ht="25" customHeight="1" x14ac:dyDescent="0.35"/>
    <row r="316" ht="25" customHeight="1" x14ac:dyDescent="0.35"/>
    <row r="317" ht="25" customHeight="1" x14ac:dyDescent="0.35"/>
    <row r="318" ht="25" customHeight="1" x14ac:dyDescent="0.35"/>
    <row r="319" ht="25" customHeight="1" x14ac:dyDescent="0.35"/>
    <row r="320" ht="25" customHeight="1" x14ac:dyDescent="0.35"/>
    <row r="321" ht="25" customHeight="1" x14ac:dyDescent="0.35"/>
    <row r="322" ht="25" customHeight="1" x14ac:dyDescent="0.35"/>
    <row r="323" ht="25" customHeight="1" x14ac:dyDescent="0.35"/>
    <row r="324" ht="25" customHeight="1" x14ac:dyDescent="0.35"/>
    <row r="325" ht="25" customHeight="1" x14ac:dyDescent="0.35"/>
    <row r="326" ht="25" customHeight="1" x14ac:dyDescent="0.35"/>
    <row r="327" ht="25" customHeight="1" x14ac:dyDescent="0.35"/>
    <row r="328" ht="25" customHeight="1" x14ac:dyDescent="0.35"/>
    <row r="329" ht="25" customHeight="1" x14ac:dyDescent="0.35"/>
    <row r="330" ht="25" customHeight="1" x14ac:dyDescent="0.35"/>
    <row r="331" ht="25" customHeight="1" x14ac:dyDescent="0.35"/>
    <row r="332" ht="25" customHeight="1" x14ac:dyDescent="0.35"/>
    <row r="333" ht="25" customHeight="1" x14ac:dyDescent="0.35"/>
    <row r="334" ht="25" customHeight="1" x14ac:dyDescent="0.35"/>
    <row r="335" ht="25" customHeight="1" x14ac:dyDescent="0.35"/>
    <row r="336" ht="25" customHeight="1" x14ac:dyDescent="0.35"/>
    <row r="337" ht="25" customHeight="1" x14ac:dyDescent="0.35"/>
    <row r="338" ht="25" customHeight="1" x14ac:dyDescent="0.35"/>
    <row r="339" ht="25" customHeight="1" x14ac:dyDescent="0.35"/>
    <row r="340" ht="25" customHeight="1" x14ac:dyDescent="0.35"/>
    <row r="341" ht="25" customHeight="1" x14ac:dyDescent="0.35"/>
    <row r="342" ht="25" customHeight="1" x14ac:dyDescent="0.35"/>
    <row r="343" ht="25" customHeight="1" x14ac:dyDescent="0.35"/>
    <row r="344" ht="25" customHeight="1" x14ac:dyDescent="0.35"/>
    <row r="345" ht="25" customHeight="1" x14ac:dyDescent="0.35"/>
    <row r="346" ht="25" customHeight="1" x14ac:dyDescent="0.35"/>
    <row r="347" ht="25" customHeight="1" x14ac:dyDescent="0.35"/>
    <row r="348" ht="25" customHeight="1" x14ac:dyDescent="0.35"/>
    <row r="349" ht="25" customHeight="1" x14ac:dyDescent="0.35"/>
    <row r="350" ht="25" customHeight="1" x14ac:dyDescent="0.35"/>
    <row r="351" ht="25" customHeight="1" x14ac:dyDescent="0.35"/>
    <row r="352" ht="25" customHeight="1" x14ac:dyDescent="0.35"/>
    <row r="353" ht="25" customHeight="1" x14ac:dyDescent="0.35"/>
    <row r="354" ht="25" customHeight="1" x14ac:dyDescent="0.35"/>
    <row r="355" ht="25" customHeight="1" x14ac:dyDescent="0.35"/>
    <row r="356" ht="25" customHeight="1" x14ac:dyDescent="0.35"/>
    <row r="357" ht="25" customHeight="1" x14ac:dyDescent="0.35"/>
    <row r="358" ht="25" customHeight="1" x14ac:dyDescent="0.35"/>
    <row r="359" ht="25" customHeight="1" x14ac:dyDescent="0.35"/>
    <row r="360" ht="25" customHeight="1" x14ac:dyDescent="0.35"/>
    <row r="361" ht="25" customHeight="1" x14ac:dyDescent="0.35"/>
    <row r="362" ht="25" customHeight="1" x14ac:dyDescent="0.35"/>
    <row r="363" ht="25" customHeight="1" x14ac:dyDescent="0.35"/>
    <row r="364" ht="25" customHeight="1" x14ac:dyDescent="0.35"/>
    <row r="365" ht="25" customHeight="1" x14ac:dyDescent="0.35"/>
    <row r="366" ht="25" customHeight="1" x14ac:dyDescent="0.35"/>
    <row r="367" ht="25" customHeight="1" x14ac:dyDescent="0.35"/>
    <row r="368" ht="25" customHeight="1" x14ac:dyDescent="0.35"/>
    <row r="369" ht="25" customHeight="1" x14ac:dyDescent="0.35"/>
    <row r="370" ht="25" customHeight="1" x14ac:dyDescent="0.35"/>
    <row r="371" ht="25" customHeight="1" x14ac:dyDescent="0.35"/>
    <row r="372" ht="25" customHeight="1" x14ac:dyDescent="0.35"/>
    <row r="373" ht="25" customHeight="1" x14ac:dyDescent="0.35"/>
    <row r="374" ht="25" customHeight="1" x14ac:dyDescent="0.35"/>
    <row r="375" ht="25" customHeight="1" x14ac:dyDescent="0.35"/>
    <row r="376" ht="25" customHeight="1" x14ac:dyDescent="0.35"/>
    <row r="377" ht="25" customHeight="1" x14ac:dyDescent="0.35"/>
    <row r="378" ht="25" customHeight="1" x14ac:dyDescent="0.35"/>
    <row r="379" ht="25" customHeight="1" x14ac:dyDescent="0.35"/>
    <row r="380" ht="25" customHeight="1" x14ac:dyDescent="0.35"/>
    <row r="381" ht="25" customHeight="1" x14ac:dyDescent="0.35"/>
    <row r="382" ht="25" customHeight="1" x14ac:dyDescent="0.35"/>
    <row r="383" ht="25" customHeight="1" x14ac:dyDescent="0.35"/>
    <row r="384" ht="25" customHeight="1" x14ac:dyDescent="0.35"/>
    <row r="385" ht="25" customHeight="1" x14ac:dyDescent="0.35"/>
    <row r="386" ht="25" customHeight="1" x14ac:dyDescent="0.35"/>
    <row r="387" ht="25" customHeight="1" x14ac:dyDescent="0.35"/>
    <row r="388" ht="25" customHeight="1" x14ac:dyDescent="0.35"/>
    <row r="389" ht="25" customHeight="1" x14ac:dyDescent="0.35"/>
    <row r="390" ht="25" customHeight="1" x14ac:dyDescent="0.35"/>
    <row r="391" ht="25" customHeight="1" x14ac:dyDescent="0.35"/>
    <row r="392" ht="25" customHeight="1" x14ac:dyDescent="0.35"/>
    <row r="393" ht="25" customHeight="1" x14ac:dyDescent="0.35"/>
    <row r="394" ht="25" customHeight="1" x14ac:dyDescent="0.35"/>
    <row r="395" ht="25" customHeight="1" x14ac:dyDescent="0.35"/>
    <row r="396" ht="25" customHeight="1" x14ac:dyDescent="0.35"/>
    <row r="397" ht="25" customHeight="1" x14ac:dyDescent="0.35"/>
    <row r="398" ht="25" customHeight="1" x14ac:dyDescent="0.35"/>
    <row r="399" ht="25" customHeight="1" x14ac:dyDescent="0.35"/>
    <row r="400" ht="25" customHeight="1" x14ac:dyDescent="0.35"/>
    <row r="401" ht="25" customHeight="1" x14ac:dyDescent="0.35"/>
    <row r="402" ht="25" customHeight="1" x14ac:dyDescent="0.35"/>
    <row r="403" ht="25" customHeight="1" x14ac:dyDescent="0.35"/>
    <row r="404" ht="25" customHeight="1" x14ac:dyDescent="0.35"/>
    <row r="405" ht="25" customHeight="1" x14ac:dyDescent="0.35"/>
    <row r="406" ht="25" customHeight="1" x14ac:dyDescent="0.35"/>
    <row r="407" ht="25" customHeight="1" x14ac:dyDescent="0.35"/>
    <row r="408" ht="25" customHeight="1" x14ac:dyDescent="0.35"/>
    <row r="409" ht="25" customHeight="1" x14ac:dyDescent="0.35"/>
    <row r="410" ht="25" customHeight="1" x14ac:dyDescent="0.35"/>
    <row r="411" ht="25" customHeight="1" x14ac:dyDescent="0.35"/>
    <row r="412" ht="25" customHeight="1" x14ac:dyDescent="0.35"/>
    <row r="413" ht="25" customHeight="1" x14ac:dyDescent="0.35"/>
    <row r="414" ht="25" customHeight="1" x14ac:dyDescent="0.35"/>
    <row r="415" ht="25" customHeight="1" x14ac:dyDescent="0.35"/>
    <row r="416" ht="25" customHeight="1" x14ac:dyDescent="0.35"/>
    <row r="417" ht="25" customHeight="1" x14ac:dyDescent="0.35"/>
    <row r="418" ht="25" customHeight="1" x14ac:dyDescent="0.35"/>
    <row r="419" ht="25" customHeight="1" x14ac:dyDescent="0.35"/>
    <row r="420" ht="25" customHeight="1" x14ac:dyDescent="0.35"/>
    <row r="421" ht="25" customHeight="1" x14ac:dyDescent="0.35"/>
    <row r="422" ht="25" customHeight="1" x14ac:dyDescent="0.35"/>
    <row r="423" ht="25" customHeight="1" x14ac:dyDescent="0.35"/>
    <row r="424" ht="25" customHeight="1" x14ac:dyDescent="0.35"/>
    <row r="425" ht="25" customHeight="1" x14ac:dyDescent="0.35"/>
    <row r="426" ht="25" customHeight="1" x14ac:dyDescent="0.35"/>
    <row r="427" ht="25" customHeight="1" x14ac:dyDescent="0.35"/>
    <row r="428" ht="25" customHeight="1" x14ac:dyDescent="0.35"/>
    <row r="429" ht="25" customHeight="1" x14ac:dyDescent="0.35"/>
    <row r="430" ht="25" customHeight="1" x14ac:dyDescent="0.35"/>
    <row r="431" ht="25" customHeight="1" x14ac:dyDescent="0.35"/>
    <row r="432" ht="25" customHeight="1" x14ac:dyDescent="0.35"/>
    <row r="433" ht="25" customHeight="1" x14ac:dyDescent="0.35"/>
    <row r="434" ht="25" customHeight="1" x14ac:dyDescent="0.35"/>
    <row r="435" ht="25" customHeight="1" x14ac:dyDescent="0.35"/>
    <row r="436" ht="25" customHeight="1" x14ac:dyDescent="0.35"/>
    <row r="437" ht="25" customHeight="1" x14ac:dyDescent="0.35"/>
    <row r="438" ht="25" customHeight="1" x14ac:dyDescent="0.35"/>
    <row r="439" ht="25" customHeight="1" x14ac:dyDescent="0.35"/>
    <row r="440" ht="25" customHeight="1" x14ac:dyDescent="0.35"/>
    <row r="441" ht="25" customHeight="1" x14ac:dyDescent="0.35"/>
    <row r="442" ht="25" customHeight="1" x14ac:dyDescent="0.35"/>
    <row r="443" ht="25" customHeight="1" x14ac:dyDescent="0.35"/>
    <row r="444" ht="25" customHeight="1" x14ac:dyDescent="0.35"/>
    <row r="445" ht="25" customHeight="1" x14ac:dyDescent="0.35"/>
    <row r="446" ht="25" customHeight="1" x14ac:dyDescent="0.35"/>
    <row r="447" ht="25" customHeight="1" x14ac:dyDescent="0.35"/>
    <row r="448" ht="25" customHeight="1" x14ac:dyDescent="0.35"/>
    <row r="449" ht="25" customHeight="1" x14ac:dyDescent="0.35"/>
    <row r="450" ht="25" customHeight="1" x14ac:dyDescent="0.35"/>
    <row r="451" ht="25" customHeight="1" x14ac:dyDescent="0.35"/>
    <row r="452" ht="25" customHeight="1" x14ac:dyDescent="0.35"/>
    <row r="453" ht="25" customHeight="1" x14ac:dyDescent="0.35"/>
    <row r="454" ht="25" customHeight="1" x14ac:dyDescent="0.35"/>
    <row r="455" ht="25" customHeight="1" x14ac:dyDescent="0.35"/>
    <row r="456" ht="25" customHeight="1" x14ac:dyDescent="0.35"/>
    <row r="457" ht="25" customHeight="1" x14ac:dyDescent="0.35"/>
    <row r="458" ht="25" customHeight="1" x14ac:dyDescent="0.35"/>
    <row r="459" ht="25" customHeight="1" x14ac:dyDescent="0.35"/>
    <row r="460" ht="25" customHeight="1" x14ac:dyDescent="0.35"/>
    <row r="461" ht="25" customHeight="1" x14ac:dyDescent="0.35"/>
    <row r="462" ht="25" customHeight="1" x14ac:dyDescent="0.35"/>
    <row r="463" ht="25" customHeight="1" x14ac:dyDescent="0.35"/>
    <row r="464" ht="25" customHeight="1" x14ac:dyDescent="0.35"/>
    <row r="465" ht="25" customHeight="1" x14ac:dyDescent="0.35"/>
    <row r="466" ht="25" customHeight="1" x14ac:dyDescent="0.35"/>
    <row r="467" ht="25" customHeight="1" x14ac:dyDescent="0.35"/>
    <row r="468" ht="25" customHeight="1" x14ac:dyDescent="0.35"/>
    <row r="469" ht="25" customHeight="1" x14ac:dyDescent="0.35"/>
    <row r="470" ht="25" customHeight="1" x14ac:dyDescent="0.35"/>
    <row r="471" ht="25" customHeight="1" x14ac:dyDescent="0.35"/>
    <row r="472" ht="25" customHeight="1" x14ac:dyDescent="0.35"/>
    <row r="473" ht="25" customHeight="1" x14ac:dyDescent="0.35"/>
    <row r="474" ht="25" customHeight="1" x14ac:dyDescent="0.35"/>
    <row r="475" ht="25" customHeight="1" x14ac:dyDescent="0.35"/>
    <row r="476" ht="25" customHeight="1" x14ac:dyDescent="0.35"/>
    <row r="477" ht="25" customHeight="1" x14ac:dyDescent="0.35"/>
    <row r="478" ht="25" customHeight="1" x14ac:dyDescent="0.35"/>
    <row r="479" ht="25" customHeight="1" x14ac:dyDescent="0.35"/>
    <row r="480" ht="25" customHeight="1" x14ac:dyDescent="0.35"/>
    <row r="481" ht="25" customHeight="1" x14ac:dyDescent="0.35"/>
    <row r="482" ht="25" customHeight="1" x14ac:dyDescent="0.35"/>
    <row r="483" ht="25" customHeight="1" x14ac:dyDescent="0.35"/>
    <row r="484" ht="25" customHeight="1" x14ac:dyDescent="0.35"/>
    <row r="485" ht="25" customHeight="1" x14ac:dyDescent="0.35"/>
    <row r="486" ht="25" customHeight="1" x14ac:dyDescent="0.35"/>
    <row r="487" ht="25" customHeight="1" x14ac:dyDescent="0.35"/>
    <row r="488" ht="25" customHeight="1" x14ac:dyDescent="0.35"/>
    <row r="489" ht="25" customHeight="1" x14ac:dyDescent="0.35"/>
    <row r="490" ht="25" customHeight="1" x14ac:dyDescent="0.35"/>
    <row r="491" ht="25" customHeight="1" x14ac:dyDescent="0.35"/>
    <row r="492" ht="25" customHeight="1" x14ac:dyDescent="0.35"/>
    <row r="493" ht="25" customHeight="1" x14ac:dyDescent="0.35"/>
    <row r="494" ht="25" customHeight="1" x14ac:dyDescent="0.35"/>
    <row r="495" ht="25" customHeight="1" x14ac:dyDescent="0.35"/>
    <row r="496" ht="25" customHeight="1" x14ac:dyDescent="0.35"/>
    <row r="497" ht="25" customHeight="1" x14ac:dyDescent="0.35"/>
    <row r="498" ht="25" customHeight="1" x14ac:dyDescent="0.35"/>
    <row r="499" ht="25" customHeight="1" x14ac:dyDescent="0.35"/>
    <row r="500" ht="25" customHeight="1" x14ac:dyDescent="0.35"/>
    <row r="501" ht="25" customHeight="1" x14ac:dyDescent="0.35"/>
    <row r="502" ht="25" customHeight="1" x14ac:dyDescent="0.35"/>
    <row r="503" ht="25" customHeight="1" x14ac:dyDescent="0.35"/>
    <row r="504" ht="25" customHeight="1" x14ac:dyDescent="0.35"/>
    <row r="505" ht="25" customHeight="1" x14ac:dyDescent="0.35"/>
    <row r="506" ht="25" customHeight="1" x14ac:dyDescent="0.35"/>
    <row r="507" ht="25" customHeight="1" x14ac:dyDescent="0.35"/>
    <row r="508" ht="25" customHeight="1" x14ac:dyDescent="0.35"/>
    <row r="509" ht="25" customHeight="1" x14ac:dyDescent="0.35"/>
    <row r="510" ht="25" customHeight="1" x14ac:dyDescent="0.35"/>
    <row r="511" ht="25" customHeight="1" x14ac:dyDescent="0.35"/>
    <row r="512" ht="25" customHeight="1" x14ac:dyDescent="0.35"/>
    <row r="513" ht="25" customHeight="1" x14ac:dyDescent="0.35"/>
    <row r="514" ht="25" customHeight="1" x14ac:dyDescent="0.35"/>
    <row r="515" ht="25" customHeight="1" x14ac:dyDescent="0.35"/>
    <row r="516" ht="25" customHeight="1" x14ac:dyDescent="0.35"/>
    <row r="517" ht="25" customHeight="1" x14ac:dyDescent="0.35"/>
    <row r="518" ht="25" customHeight="1" x14ac:dyDescent="0.35"/>
    <row r="519" ht="25" customHeight="1" x14ac:dyDescent="0.35"/>
    <row r="520" ht="25" customHeight="1" x14ac:dyDescent="0.35"/>
    <row r="521" ht="25" customHeight="1" x14ac:dyDescent="0.35"/>
    <row r="522" ht="25" customHeight="1" x14ac:dyDescent="0.35"/>
    <row r="523" ht="25" customHeight="1" x14ac:dyDescent="0.35"/>
    <row r="524" ht="25" customHeight="1" x14ac:dyDescent="0.35"/>
    <row r="525" ht="25" customHeight="1" x14ac:dyDescent="0.35"/>
    <row r="526" ht="25" customHeight="1" x14ac:dyDescent="0.35"/>
    <row r="527" ht="25" customHeight="1" x14ac:dyDescent="0.35"/>
    <row r="528" ht="25" customHeight="1" x14ac:dyDescent="0.35"/>
    <row r="529" ht="25" customHeight="1" x14ac:dyDescent="0.35"/>
    <row r="530" ht="25" customHeight="1" x14ac:dyDescent="0.35"/>
    <row r="531" ht="25" customHeight="1" x14ac:dyDescent="0.35"/>
    <row r="532" ht="25" customHeight="1" x14ac:dyDescent="0.35"/>
    <row r="533" ht="25" customHeight="1" x14ac:dyDescent="0.35"/>
    <row r="534" ht="25" customHeight="1" x14ac:dyDescent="0.35"/>
    <row r="535" ht="25" customHeight="1" x14ac:dyDescent="0.35"/>
    <row r="536" ht="25" customHeight="1" x14ac:dyDescent="0.35"/>
    <row r="537" ht="25" customHeight="1" x14ac:dyDescent="0.35"/>
    <row r="538" ht="25" customHeight="1" x14ac:dyDescent="0.35"/>
    <row r="539" ht="25" customHeight="1" x14ac:dyDescent="0.35"/>
    <row r="540" ht="25" customHeight="1" x14ac:dyDescent="0.35"/>
    <row r="541" ht="25" customHeight="1" x14ac:dyDescent="0.35"/>
    <row r="542" ht="25" customHeight="1" x14ac:dyDescent="0.35"/>
    <row r="543" ht="25" customHeight="1" x14ac:dyDescent="0.35"/>
    <row r="544" ht="25" customHeight="1" x14ac:dyDescent="0.35"/>
    <row r="545" ht="25" customHeight="1" x14ac:dyDescent="0.35"/>
    <row r="546" ht="25" customHeight="1" x14ac:dyDescent="0.35"/>
    <row r="547" ht="25" customHeight="1" x14ac:dyDescent="0.35"/>
    <row r="548" ht="25" customHeight="1" x14ac:dyDescent="0.35"/>
    <row r="549" ht="25" customHeight="1" x14ac:dyDescent="0.35"/>
    <row r="550" ht="25" customHeight="1" x14ac:dyDescent="0.35"/>
    <row r="551" ht="25" customHeight="1" x14ac:dyDescent="0.35"/>
    <row r="552" ht="25" customHeight="1" x14ac:dyDescent="0.35"/>
    <row r="553" ht="25" customHeight="1" x14ac:dyDescent="0.35"/>
    <row r="554" ht="25" customHeight="1" x14ac:dyDescent="0.35"/>
    <row r="555" ht="25" customHeight="1" x14ac:dyDescent="0.35"/>
    <row r="556" ht="25" customHeight="1" x14ac:dyDescent="0.35"/>
    <row r="557" ht="25" customHeight="1" x14ac:dyDescent="0.35"/>
    <row r="558" ht="25" customHeight="1" x14ac:dyDescent="0.35"/>
    <row r="559" ht="25" customHeight="1" x14ac:dyDescent="0.35"/>
    <row r="560" ht="25" customHeight="1" x14ac:dyDescent="0.35"/>
    <row r="561" ht="25" customHeight="1" x14ac:dyDescent="0.35"/>
    <row r="562" ht="25" customHeight="1" x14ac:dyDescent="0.35"/>
    <row r="563" ht="25" customHeight="1" x14ac:dyDescent="0.35"/>
    <row r="564" ht="25" customHeight="1" x14ac:dyDescent="0.35"/>
    <row r="565" ht="25" customHeight="1" x14ac:dyDescent="0.35"/>
    <row r="566" ht="25" customHeight="1" x14ac:dyDescent="0.35"/>
    <row r="567" ht="25" customHeight="1" x14ac:dyDescent="0.35"/>
    <row r="568" ht="25" customHeight="1" x14ac:dyDescent="0.35"/>
    <row r="569" ht="25" customHeight="1" x14ac:dyDescent="0.35"/>
    <row r="570" ht="25" customHeight="1" x14ac:dyDescent="0.35"/>
    <row r="571" ht="25" customHeight="1" x14ac:dyDescent="0.35"/>
    <row r="572" ht="25" customHeight="1" x14ac:dyDescent="0.35"/>
    <row r="573" ht="25" customHeight="1" x14ac:dyDescent="0.35"/>
    <row r="574" ht="25" customHeight="1" x14ac:dyDescent="0.35"/>
    <row r="575" ht="25" customHeight="1" x14ac:dyDescent="0.35"/>
    <row r="576" ht="25" customHeight="1" x14ac:dyDescent="0.35"/>
    <row r="577" ht="25" customHeight="1" x14ac:dyDescent="0.35"/>
    <row r="578" ht="25" customHeight="1" x14ac:dyDescent="0.35"/>
    <row r="579" ht="25" customHeight="1" x14ac:dyDescent="0.35"/>
    <row r="580" ht="25" customHeight="1" x14ac:dyDescent="0.35"/>
    <row r="581" ht="25" customHeight="1" x14ac:dyDescent="0.35"/>
    <row r="582" ht="25" customHeight="1" x14ac:dyDescent="0.35"/>
    <row r="583" ht="25" customHeight="1" x14ac:dyDescent="0.35"/>
    <row r="584" ht="25" customHeight="1" x14ac:dyDescent="0.35"/>
    <row r="585" ht="25" customHeight="1" x14ac:dyDescent="0.35"/>
    <row r="586" ht="25" customHeight="1" x14ac:dyDescent="0.35"/>
    <row r="587" ht="25" customHeight="1" x14ac:dyDescent="0.35"/>
    <row r="588" ht="25" customHeight="1" x14ac:dyDescent="0.35"/>
    <row r="589" ht="25" customHeight="1" x14ac:dyDescent="0.35"/>
    <row r="590" ht="25" customHeight="1" x14ac:dyDescent="0.35"/>
    <row r="591" ht="25" customHeight="1" x14ac:dyDescent="0.35"/>
    <row r="592" ht="25" customHeight="1" x14ac:dyDescent="0.35"/>
    <row r="593" ht="25" customHeight="1" x14ac:dyDescent="0.35"/>
    <row r="594" ht="25" customHeight="1" x14ac:dyDescent="0.35"/>
    <row r="595" ht="25" customHeight="1" x14ac:dyDescent="0.35"/>
    <row r="596" ht="25" customHeight="1" x14ac:dyDescent="0.35"/>
    <row r="597" ht="25" customHeight="1" x14ac:dyDescent="0.35"/>
    <row r="598" ht="25" customHeight="1" x14ac:dyDescent="0.35"/>
    <row r="599" ht="25" customHeight="1" x14ac:dyDescent="0.35"/>
    <row r="600" ht="25" customHeight="1" x14ac:dyDescent="0.35"/>
    <row r="601" ht="25" customHeight="1" x14ac:dyDescent="0.35"/>
    <row r="602" ht="25" customHeight="1" x14ac:dyDescent="0.35"/>
    <row r="603" ht="25" customHeight="1" x14ac:dyDescent="0.35"/>
    <row r="604" ht="25" customHeight="1" x14ac:dyDescent="0.35"/>
    <row r="605" ht="25" customHeight="1" x14ac:dyDescent="0.35"/>
    <row r="606" ht="25" customHeight="1" x14ac:dyDescent="0.35"/>
    <row r="607" ht="25" customHeight="1" x14ac:dyDescent="0.35"/>
    <row r="608" ht="25" customHeight="1" x14ac:dyDescent="0.35"/>
    <row r="609" ht="25" customHeight="1" x14ac:dyDescent="0.35"/>
    <row r="610" ht="25" customHeight="1" x14ac:dyDescent="0.35"/>
    <row r="611" ht="25" customHeight="1" x14ac:dyDescent="0.35"/>
    <row r="612" ht="25" customHeight="1" x14ac:dyDescent="0.35"/>
    <row r="613" ht="25" customHeight="1" x14ac:dyDescent="0.35"/>
    <row r="614" ht="25" customHeight="1" x14ac:dyDescent="0.35"/>
    <row r="615" ht="25" customHeight="1" x14ac:dyDescent="0.35"/>
    <row r="616" ht="25" customHeight="1" x14ac:dyDescent="0.35"/>
    <row r="617" ht="25" customHeight="1" x14ac:dyDescent="0.35"/>
    <row r="618" ht="25" customHeight="1" x14ac:dyDescent="0.35"/>
    <row r="619" ht="25" customHeight="1" x14ac:dyDescent="0.35"/>
    <row r="620" ht="25" customHeight="1" x14ac:dyDescent="0.35"/>
    <row r="621" ht="25" customHeight="1" x14ac:dyDescent="0.35"/>
    <row r="622" ht="25" customHeight="1" x14ac:dyDescent="0.35"/>
    <row r="623" ht="25" customHeight="1" x14ac:dyDescent="0.35"/>
    <row r="624" ht="25" customHeight="1" x14ac:dyDescent="0.35"/>
    <row r="625" ht="25" customHeight="1" x14ac:dyDescent="0.35"/>
    <row r="626" ht="25" customHeight="1" x14ac:dyDescent="0.35"/>
    <row r="627" ht="25" customHeight="1" x14ac:dyDescent="0.35"/>
    <row r="628" ht="25" customHeight="1" x14ac:dyDescent="0.35"/>
    <row r="629" ht="25" customHeight="1" x14ac:dyDescent="0.35"/>
    <row r="630" ht="25" customHeight="1" x14ac:dyDescent="0.35"/>
    <row r="631" ht="25" customHeight="1" x14ac:dyDescent="0.35"/>
    <row r="632" ht="25" customHeight="1" x14ac:dyDescent="0.35"/>
    <row r="633" ht="25" customHeight="1" x14ac:dyDescent="0.35"/>
    <row r="634" ht="25" customHeight="1" x14ac:dyDescent="0.35"/>
    <row r="635" ht="25" customHeight="1" x14ac:dyDescent="0.35"/>
    <row r="636" ht="25" customHeight="1" x14ac:dyDescent="0.35"/>
    <row r="637" ht="25" customHeight="1" x14ac:dyDescent="0.35"/>
    <row r="638" ht="25" customHeight="1" x14ac:dyDescent="0.35"/>
    <row r="639" ht="25" customHeight="1" x14ac:dyDescent="0.35"/>
    <row r="640" ht="25" customHeight="1" x14ac:dyDescent="0.35"/>
    <row r="641" ht="25" customHeight="1" x14ac:dyDescent="0.35"/>
    <row r="642" ht="25" customHeight="1" x14ac:dyDescent="0.35"/>
    <row r="643" ht="25" customHeight="1" x14ac:dyDescent="0.35"/>
    <row r="644" ht="25" customHeight="1" x14ac:dyDescent="0.35"/>
    <row r="645" ht="25" customHeight="1" x14ac:dyDescent="0.35"/>
    <row r="646" ht="25" customHeight="1" x14ac:dyDescent="0.35"/>
    <row r="647" ht="25" customHeight="1" x14ac:dyDescent="0.35"/>
    <row r="648" ht="25" customHeight="1" x14ac:dyDescent="0.35"/>
    <row r="649" ht="25" customHeight="1" x14ac:dyDescent="0.35"/>
    <row r="650" ht="25" customHeight="1" x14ac:dyDescent="0.35"/>
    <row r="651" ht="25" customHeight="1" x14ac:dyDescent="0.35"/>
    <row r="652" ht="25" customHeight="1" x14ac:dyDescent="0.35"/>
    <row r="653" ht="25" customHeight="1" x14ac:dyDescent="0.35"/>
    <row r="654" ht="25" customHeight="1" x14ac:dyDescent="0.35"/>
    <row r="655" ht="25" customHeight="1" x14ac:dyDescent="0.35"/>
    <row r="656" ht="25" customHeight="1" x14ac:dyDescent="0.35"/>
    <row r="657" ht="25" customHeight="1" x14ac:dyDescent="0.35"/>
    <row r="658" ht="25" customHeight="1" x14ac:dyDescent="0.35"/>
    <row r="659" ht="25" customHeight="1" x14ac:dyDescent="0.35"/>
    <row r="660" ht="25" customHeight="1" x14ac:dyDescent="0.35"/>
    <row r="661" ht="25" customHeight="1" x14ac:dyDescent="0.35"/>
    <row r="662" ht="25" customHeight="1" x14ac:dyDescent="0.35"/>
    <row r="663" ht="25" customHeight="1" x14ac:dyDescent="0.35"/>
    <row r="664" ht="25" customHeight="1" x14ac:dyDescent="0.35"/>
    <row r="665" ht="25" customHeight="1" x14ac:dyDescent="0.35"/>
    <row r="666" ht="25" customHeight="1" x14ac:dyDescent="0.35"/>
    <row r="667" ht="25" customHeight="1" x14ac:dyDescent="0.35"/>
    <row r="668" ht="25" customHeight="1" x14ac:dyDescent="0.35"/>
    <row r="669" ht="25" customHeight="1" x14ac:dyDescent="0.35"/>
    <row r="670" ht="25" customHeight="1" x14ac:dyDescent="0.35"/>
    <row r="671" ht="25" customHeight="1" x14ac:dyDescent="0.35"/>
    <row r="672" ht="25" customHeight="1" x14ac:dyDescent="0.35"/>
    <row r="673" ht="25" customHeight="1" x14ac:dyDescent="0.35"/>
    <row r="674" ht="25" customHeight="1" x14ac:dyDescent="0.35"/>
    <row r="675" ht="25" customHeight="1" x14ac:dyDescent="0.35"/>
    <row r="676" ht="25" customHeight="1" x14ac:dyDescent="0.35"/>
    <row r="677" ht="25" customHeight="1" x14ac:dyDescent="0.35"/>
    <row r="678" ht="25" customHeight="1" x14ac:dyDescent="0.35"/>
    <row r="679" ht="25" customHeight="1" x14ac:dyDescent="0.35"/>
    <row r="680" ht="25" customHeight="1" x14ac:dyDescent="0.35"/>
    <row r="681" ht="25" customHeight="1" x14ac:dyDescent="0.35"/>
    <row r="682" ht="25" customHeight="1" x14ac:dyDescent="0.35"/>
    <row r="683" ht="25" customHeight="1" x14ac:dyDescent="0.35"/>
    <row r="684" ht="25" customHeight="1" x14ac:dyDescent="0.35"/>
    <row r="685" ht="25" customHeight="1" x14ac:dyDescent="0.35"/>
    <row r="686" ht="25" customHeight="1" x14ac:dyDescent="0.35"/>
    <row r="687" ht="25" customHeight="1" x14ac:dyDescent="0.35"/>
    <row r="688" ht="25" customHeight="1" x14ac:dyDescent="0.35"/>
    <row r="689" ht="25" customHeight="1" x14ac:dyDescent="0.35"/>
    <row r="690" ht="25" customHeight="1" x14ac:dyDescent="0.35"/>
    <row r="691" ht="25" customHeight="1" x14ac:dyDescent="0.35"/>
    <row r="692" ht="25" customHeight="1" x14ac:dyDescent="0.35"/>
    <row r="693" ht="25" customHeight="1" x14ac:dyDescent="0.35"/>
    <row r="694" ht="25" customHeight="1" x14ac:dyDescent="0.35"/>
    <row r="695" ht="25" customHeight="1" x14ac:dyDescent="0.35"/>
    <row r="696" ht="25" customHeight="1" x14ac:dyDescent="0.35"/>
    <row r="697" ht="25" customHeight="1" x14ac:dyDescent="0.35"/>
    <row r="698" ht="25" customHeight="1" x14ac:dyDescent="0.35"/>
    <row r="699" ht="25" customHeight="1" x14ac:dyDescent="0.35"/>
    <row r="700" ht="25" customHeight="1" x14ac:dyDescent="0.35"/>
    <row r="701" ht="25" customHeight="1" x14ac:dyDescent="0.35"/>
    <row r="702" ht="25" customHeight="1" x14ac:dyDescent="0.35"/>
    <row r="703" ht="25" customHeight="1" x14ac:dyDescent="0.35"/>
    <row r="704" ht="25" customHeight="1" x14ac:dyDescent="0.35"/>
    <row r="705" ht="25" customHeight="1" x14ac:dyDescent="0.35"/>
    <row r="706" ht="25" customHeight="1" x14ac:dyDescent="0.35"/>
    <row r="707" ht="25" customHeight="1" x14ac:dyDescent="0.35"/>
    <row r="708" ht="25" customHeight="1" x14ac:dyDescent="0.35"/>
    <row r="709" ht="25" customHeight="1" x14ac:dyDescent="0.35"/>
    <row r="710" ht="25" customHeight="1" x14ac:dyDescent="0.35"/>
    <row r="711" ht="25" customHeight="1" x14ac:dyDescent="0.35"/>
    <row r="712" ht="25" customHeight="1" x14ac:dyDescent="0.35"/>
    <row r="713" ht="25" customHeight="1" x14ac:dyDescent="0.35"/>
    <row r="714" ht="25" customHeight="1" x14ac:dyDescent="0.35"/>
    <row r="715" ht="25" customHeight="1" x14ac:dyDescent="0.35"/>
    <row r="716" ht="25" customHeight="1" x14ac:dyDescent="0.35"/>
    <row r="717" ht="25" customHeight="1" x14ac:dyDescent="0.35"/>
    <row r="718" ht="25" customHeight="1" x14ac:dyDescent="0.35"/>
    <row r="719" ht="25" customHeight="1" x14ac:dyDescent="0.35"/>
    <row r="720" ht="25" customHeight="1" x14ac:dyDescent="0.35"/>
    <row r="721" ht="25" customHeight="1" x14ac:dyDescent="0.35"/>
    <row r="722" ht="25" customHeight="1" x14ac:dyDescent="0.35"/>
    <row r="723" ht="25" customHeight="1" x14ac:dyDescent="0.35"/>
    <row r="724" ht="25" customHeight="1" x14ac:dyDescent="0.35"/>
    <row r="725" ht="25" customHeight="1" x14ac:dyDescent="0.35"/>
    <row r="726" ht="25" customHeight="1" x14ac:dyDescent="0.35"/>
    <row r="727" ht="25" customHeight="1" x14ac:dyDescent="0.35"/>
    <row r="728" ht="25" customHeight="1" x14ac:dyDescent="0.35"/>
    <row r="729" ht="25" customHeight="1" x14ac:dyDescent="0.35"/>
    <row r="730" ht="25" customHeight="1" x14ac:dyDescent="0.35"/>
    <row r="731" ht="25" customHeight="1" x14ac:dyDescent="0.35"/>
    <row r="732" ht="25" customHeight="1" x14ac:dyDescent="0.35"/>
    <row r="733" ht="25" customHeight="1" x14ac:dyDescent="0.35"/>
    <row r="734" ht="25" customHeight="1" x14ac:dyDescent="0.35"/>
    <row r="735" ht="25" customHeight="1" x14ac:dyDescent="0.35"/>
    <row r="736" ht="25" customHeight="1" x14ac:dyDescent="0.35"/>
    <row r="737" ht="25" customHeight="1" x14ac:dyDescent="0.35"/>
    <row r="738" ht="25" customHeight="1" x14ac:dyDescent="0.35"/>
    <row r="739" ht="25" customHeight="1" x14ac:dyDescent="0.35"/>
    <row r="740" ht="25" customHeight="1" x14ac:dyDescent="0.35"/>
    <row r="741" ht="25" customHeight="1" x14ac:dyDescent="0.35"/>
    <row r="742" ht="25" customHeight="1" x14ac:dyDescent="0.35"/>
    <row r="743" ht="25" customHeight="1" x14ac:dyDescent="0.35"/>
    <row r="744" ht="25" customHeight="1" x14ac:dyDescent="0.35"/>
    <row r="745" ht="25" customHeight="1" x14ac:dyDescent="0.35"/>
    <row r="746" ht="25" customHeight="1" x14ac:dyDescent="0.35"/>
    <row r="747" ht="25" customHeight="1" x14ac:dyDescent="0.35"/>
    <row r="748" ht="25" customHeight="1" x14ac:dyDescent="0.35"/>
    <row r="749" ht="25" customHeight="1" x14ac:dyDescent="0.35"/>
    <row r="750" ht="25" customHeight="1" x14ac:dyDescent="0.35"/>
    <row r="751" ht="25" customHeight="1" x14ac:dyDescent="0.35"/>
    <row r="752" ht="25" customHeight="1" x14ac:dyDescent="0.35"/>
    <row r="753" ht="25" customHeight="1" x14ac:dyDescent="0.35"/>
    <row r="754" ht="25" customHeight="1" x14ac:dyDescent="0.35"/>
    <row r="755" ht="25" customHeight="1" x14ac:dyDescent="0.35"/>
    <row r="756" ht="25" customHeight="1" x14ac:dyDescent="0.35"/>
    <row r="757" ht="25" customHeight="1" x14ac:dyDescent="0.35"/>
    <row r="758" ht="25" customHeight="1" x14ac:dyDescent="0.35"/>
    <row r="759" ht="25" customHeight="1" x14ac:dyDescent="0.35"/>
    <row r="760" ht="25" customHeight="1" x14ac:dyDescent="0.35"/>
    <row r="761" ht="25" customHeight="1" x14ac:dyDescent="0.35"/>
    <row r="762" ht="25" customHeight="1" x14ac:dyDescent="0.35"/>
    <row r="763" ht="25" customHeight="1" x14ac:dyDescent="0.35"/>
    <row r="764" ht="25" customHeight="1" x14ac:dyDescent="0.35"/>
    <row r="765" ht="25" customHeight="1" x14ac:dyDescent="0.35"/>
    <row r="766" ht="25" customHeight="1" x14ac:dyDescent="0.35"/>
    <row r="767" ht="25" customHeight="1" x14ac:dyDescent="0.35"/>
    <row r="768" ht="25" customHeight="1" x14ac:dyDescent="0.35"/>
    <row r="769" ht="25" customHeight="1" x14ac:dyDescent="0.35"/>
    <row r="770" ht="25" customHeight="1" x14ac:dyDescent="0.35"/>
    <row r="771" ht="25" customHeight="1" x14ac:dyDescent="0.35"/>
    <row r="772" ht="25" customHeight="1" x14ac:dyDescent="0.35"/>
    <row r="773" ht="25" customHeight="1" x14ac:dyDescent="0.35"/>
    <row r="774" ht="25" customHeight="1" x14ac:dyDescent="0.35"/>
    <row r="775" ht="25" customHeight="1" x14ac:dyDescent="0.35"/>
    <row r="776" ht="25" customHeight="1" x14ac:dyDescent="0.35"/>
    <row r="777" ht="25" customHeight="1" x14ac:dyDescent="0.35"/>
    <row r="778" ht="25" customHeight="1" x14ac:dyDescent="0.35"/>
    <row r="779" ht="25" customHeight="1" x14ac:dyDescent="0.35"/>
    <row r="780" ht="25" customHeight="1" x14ac:dyDescent="0.35"/>
    <row r="781" ht="25" customHeight="1" x14ac:dyDescent="0.35"/>
    <row r="782" ht="25" customHeight="1" x14ac:dyDescent="0.35"/>
    <row r="783" ht="25" customHeight="1" x14ac:dyDescent="0.35"/>
  </sheetData>
  <sheetProtection algorithmName="SHA-512" hashValue="VH2sFmZ7i0nj0blCZp9pRCRpiOfIM0TDOcSre4jjAI/v1Bal85j5oCKgfME33kLxeDZLxa8rwmCrD+9EAnkTWQ==" saltValue="yaq84O7re6Xt4YAKsq48Vw==" spinCount="100000" sheet="1" objects="1" scenarios="1" selectLockedCells="1"/>
  <mergeCells count="6">
    <mergeCell ref="B1:H1"/>
    <mergeCell ref="B5:D5"/>
    <mergeCell ref="E2:G5"/>
    <mergeCell ref="B2:D2"/>
    <mergeCell ref="B3:D3"/>
    <mergeCell ref="B4:D4"/>
  </mergeCells>
  <conditionalFormatting sqref="F7:F79">
    <cfRule type="containsText" dxfId="11" priority="1" operator="containsText" text="ERROR">
      <formula>NOT(ISERROR(SEARCH("ERROR",F7)))</formula>
    </cfRule>
  </conditionalFormatting>
  <conditionalFormatting sqref="G7:G79">
    <cfRule type="containsText" dxfId="10" priority="4" operator="containsText" text="worked">
      <formula>NOT(ISERROR(SEARCH("worked",G7)))</formula>
    </cfRule>
  </conditionalFormatting>
  <conditionalFormatting sqref="H7:H79">
    <cfRule type="cellIs" dxfId="9" priority="2" operator="greaterThan">
      <formula>2</formula>
    </cfRule>
    <cfRule type="cellIs" dxfId="8" priority="3" operator="lessThan">
      <formula>0</formula>
    </cfRule>
  </conditionalFormatting>
  <dataValidations count="3">
    <dataValidation type="time" operator="lessThan" allowBlank="1" showInputMessage="1" showErrorMessage="1" sqref="D7:E79" xr:uid="{33CF4BFE-EF6D-44AF-8068-7B19169006D9}">
      <formula1>0.999988425925926</formula1>
    </dataValidation>
    <dataValidation type="whole" operator="lessThan" allowBlank="1" showInputMessage="1" showErrorMessage="1" sqref="B3:D3" xr:uid="{BA4C4349-0BDF-4359-B98A-5D361321A5C6}">
      <formula1>999999999</formula1>
    </dataValidation>
    <dataValidation type="decimal" errorStyle="warning" allowBlank="1" showInputMessage="1" showErrorMessage="1" errorTitle="BadInterval" error="The Duration of the Micro-Activity in INVALID_x000a_" sqref="H7" xr:uid="{66AC76C6-8575-475D-B192-6235E0C95516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B50DEBC7-AB74-4EC3-BB96-63E9D871F68E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zoomScale="85" zoomScaleNormal="85" workbookViewId="0">
      <selection activeCell="B7" sqref="B7"/>
    </sheetView>
  </sheetViews>
  <sheetFormatPr defaultRowHeight="14.5" x14ac:dyDescent="0.35"/>
  <cols>
    <col min="1" max="1" width="37.26953125" customWidth="1"/>
    <col min="2" max="2" width="15.7265625" customWidth="1"/>
    <col min="3" max="3" width="15.7265625" style="2" customWidth="1"/>
    <col min="4" max="5" width="15.7265625" style="7" customWidth="1"/>
    <col min="6" max="6" width="15.7265625" customWidth="1"/>
    <col min="7" max="7" width="189.54296875" customWidth="1"/>
    <col min="8" max="8" width="15.7265625" customWidth="1"/>
    <col min="9" max="9" width="26" customWidth="1"/>
    <col min="10" max="33" width="15.7265625" customWidth="1"/>
  </cols>
  <sheetData>
    <row r="1" spans="1:9" ht="94.15" customHeight="1" thickBot="1" x14ac:dyDescent="0.4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5" customHeight="1" x14ac:dyDescent="0.35">
      <c r="A2" s="33" t="s">
        <v>6</v>
      </c>
      <c r="B2" s="46" t="s">
        <v>27</v>
      </c>
      <c r="C2" s="47"/>
      <c r="D2" s="48"/>
      <c r="E2" s="49" t="s">
        <v>24</v>
      </c>
      <c r="F2" s="50"/>
      <c r="G2" s="50"/>
    </row>
    <row r="3" spans="1:9" ht="25" customHeight="1" x14ac:dyDescent="0.35">
      <c r="A3" s="33" t="s">
        <v>5</v>
      </c>
      <c r="B3" s="55">
        <v>301578293</v>
      </c>
      <c r="C3" s="56"/>
      <c r="D3" s="57"/>
      <c r="E3" s="51"/>
      <c r="F3" s="52"/>
      <c r="G3" s="52"/>
    </row>
    <row r="4" spans="1:9" ht="25" customHeight="1" thickBot="1" x14ac:dyDescent="0.4">
      <c r="A4" s="33" t="s">
        <v>4</v>
      </c>
      <c r="B4" s="58" t="s">
        <v>26</v>
      </c>
      <c r="C4" s="59"/>
      <c r="D4" s="60"/>
      <c r="E4" s="51"/>
      <c r="F4" s="52"/>
      <c r="G4" s="52"/>
    </row>
    <row r="5" spans="1:9" ht="59.5" customHeight="1" thickBot="1" x14ac:dyDescent="0.4">
      <c r="A5" s="34" t="s">
        <v>11</v>
      </c>
      <c r="B5" s="61">
        <v>0.25</v>
      </c>
      <c r="C5" s="59"/>
      <c r="D5" s="60"/>
      <c r="E5" s="53"/>
      <c r="F5" s="54"/>
      <c r="G5" s="54"/>
    </row>
    <row r="6" spans="1:9" s="1" customFormat="1" ht="25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35">
      <c r="A7" s="30"/>
      <c r="B7" s="12">
        <v>8293</v>
      </c>
      <c r="C7" s="18"/>
      <c r="D7" s="19"/>
      <c r="E7" s="20"/>
      <c r="F7" s="40" t="str">
        <f>IF(AND(NOT(ISBLANK($D7)),NOT(ISBLANK($E7)),OR($H7&lt;0,$H7&gt;2)),"ERROR","")</f>
        <v/>
      </c>
      <c r="G7" s="15"/>
      <c r="H7" s="11">
        <f>IF(E7&gt;=D7, E7-D7, 1-D7+E7)*24</f>
        <v>0</v>
      </c>
      <c r="I7" s="9"/>
    </row>
    <row r="8" spans="1:9" ht="25" customHeight="1" x14ac:dyDescent="0.45">
      <c r="A8" s="31"/>
      <c r="B8" s="13"/>
      <c r="C8" s="21"/>
      <c r="D8" s="19"/>
      <c r="E8" s="22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5" customHeight="1" x14ac:dyDescent="0.4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5" customHeight="1" x14ac:dyDescent="0.4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5" customHeight="1" x14ac:dyDescent="0.4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5" customHeight="1" x14ac:dyDescent="0.4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5" customHeight="1" x14ac:dyDescent="0.4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5" customHeight="1" x14ac:dyDescent="0.4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5" customHeight="1" x14ac:dyDescent="0.4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5" customHeight="1" x14ac:dyDescent="0.4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5" customHeight="1" x14ac:dyDescent="0.4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5" customHeight="1" x14ac:dyDescent="0.4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5" customHeight="1" x14ac:dyDescent="0.4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5" customHeight="1" x14ac:dyDescent="0.4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5" customHeight="1" x14ac:dyDescent="0.4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5" customHeight="1" x14ac:dyDescent="0.4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5" customHeight="1" x14ac:dyDescent="0.4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5" customHeight="1" x14ac:dyDescent="0.4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5" customHeight="1" x14ac:dyDescent="0.4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5" customHeight="1" x14ac:dyDescent="0.4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5" customHeight="1" x14ac:dyDescent="0.4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5" customHeight="1" x14ac:dyDescent="0.4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5" customHeight="1" x14ac:dyDescent="0.4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5" customHeight="1" x14ac:dyDescent="0.4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5" customHeight="1" x14ac:dyDescent="0.4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5" customHeight="1" x14ac:dyDescent="0.4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5" customHeight="1" x14ac:dyDescent="0.4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5" customHeight="1" x14ac:dyDescent="0.4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5" customHeight="1" x14ac:dyDescent="0.4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5" customHeight="1" x14ac:dyDescent="0.4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5" customHeight="1" x14ac:dyDescent="0.4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5" customHeight="1" x14ac:dyDescent="0.4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5" customHeight="1" x14ac:dyDescent="0.4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5" customHeight="1" x14ac:dyDescent="0.4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5" customHeight="1" x14ac:dyDescent="0.4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5" customHeight="1" x14ac:dyDescent="0.4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5" customHeight="1" x14ac:dyDescent="0.4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5" customHeight="1" x14ac:dyDescent="0.4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5" customHeight="1" x14ac:dyDescent="0.4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5" customHeight="1" x14ac:dyDescent="0.4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5" customHeight="1" x14ac:dyDescent="0.4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5" customHeight="1" x14ac:dyDescent="0.4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5" customHeight="1" x14ac:dyDescent="0.4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5" customHeight="1" x14ac:dyDescent="0.4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5" customHeight="1" x14ac:dyDescent="0.4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5" customHeight="1" x14ac:dyDescent="0.4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5" customHeight="1" x14ac:dyDescent="0.4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5" customHeight="1" x14ac:dyDescent="0.4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5" customHeight="1" x14ac:dyDescent="0.4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5" customHeight="1" x14ac:dyDescent="0.4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5" customHeight="1" x14ac:dyDescent="0.4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5" customHeight="1" x14ac:dyDescent="0.4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5" customHeight="1" x14ac:dyDescent="0.4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5" customHeight="1" x14ac:dyDescent="0.4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5" customHeight="1" x14ac:dyDescent="0.4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5" customHeight="1" x14ac:dyDescent="0.4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5" customHeight="1" x14ac:dyDescent="0.4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5" customHeight="1" x14ac:dyDescent="0.4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5" customHeight="1" x14ac:dyDescent="0.4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5" customHeight="1" x14ac:dyDescent="0.4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5" customHeight="1" x14ac:dyDescent="0.4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5" customHeight="1" x14ac:dyDescent="0.4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5" customHeight="1" x14ac:dyDescent="0.4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5" customHeight="1" x14ac:dyDescent="0.4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5" customHeight="1" x14ac:dyDescent="0.4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5" customHeight="1" x14ac:dyDescent="0.4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5" customHeight="1" x14ac:dyDescent="0.4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5" customHeight="1" x14ac:dyDescent="0.4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5" customHeight="1" x14ac:dyDescent="0.4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5" customHeight="1" x14ac:dyDescent="0.4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5" customHeight="1" x14ac:dyDescent="0.4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5" customHeight="1" x14ac:dyDescent="0.4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5" customHeight="1" thickBot="1" x14ac:dyDescent="0.5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5" customHeight="1" x14ac:dyDescent="0.45">
      <c r="F80" s="29"/>
      <c r="H80" s="28">
        <f>SUM(H7:H79)</f>
        <v>0</v>
      </c>
    </row>
    <row r="81" ht="25" customHeight="1" x14ac:dyDescent="0.35"/>
    <row r="82" ht="25" customHeight="1" x14ac:dyDescent="0.35"/>
    <row r="83" ht="25" customHeight="1" x14ac:dyDescent="0.35"/>
    <row r="84" ht="25" customHeight="1" x14ac:dyDescent="0.35"/>
    <row r="85" ht="25" customHeight="1" x14ac:dyDescent="0.35"/>
    <row r="86" ht="25" customHeight="1" x14ac:dyDescent="0.35"/>
    <row r="87" ht="25" customHeight="1" x14ac:dyDescent="0.35"/>
    <row r="88" ht="25" customHeight="1" x14ac:dyDescent="0.35"/>
    <row r="89" ht="25" customHeight="1" x14ac:dyDescent="0.35"/>
    <row r="90" ht="25" customHeight="1" x14ac:dyDescent="0.35"/>
    <row r="91" ht="25" customHeight="1" x14ac:dyDescent="0.35"/>
    <row r="92" ht="25" customHeight="1" x14ac:dyDescent="0.35"/>
    <row r="93" ht="25" customHeight="1" x14ac:dyDescent="0.35"/>
    <row r="94" ht="25" customHeight="1" x14ac:dyDescent="0.35"/>
    <row r="95" ht="25" customHeight="1" x14ac:dyDescent="0.35"/>
    <row r="96" ht="25" customHeight="1" x14ac:dyDescent="0.35"/>
    <row r="97" ht="25" customHeight="1" x14ac:dyDescent="0.35"/>
    <row r="98" ht="25" customHeight="1" x14ac:dyDescent="0.35"/>
    <row r="99" ht="25" customHeight="1" x14ac:dyDescent="0.35"/>
    <row r="100" ht="25" customHeight="1" x14ac:dyDescent="0.35"/>
    <row r="101" ht="25" customHeight="1" x14ac:dyDescent="0.35"/>
    <row r="102" ht="25" customHeight="1" x14ac:dyDescent="0.35"/>
    <row r="103" ht="25" customHeight="1" x14ac:dyDescent="0.35"/>
    <row r="104" ht="25" customHeight="1" x14ac:dyDescent="0.35"/>
    <row r="105" ht="25" customHeight="1" x14ac:dyDescent="0.35"/>
    <row r="106" ht="25" customHeight="1" x14ac:dyDescent="0.35"/>
    <row r="107" ht="25" customHeight="1" x14ac:dyDescent="0.35"/>
    <row r="108" ht="25" customHeight="1" x14ac:dyDescent="0.35"/>
    <row r="109" ht="25" customHeight="1" x14ac:dyDescent="0.35"/>
    <row r="110" ht="25" customHeight="1" x14ac:dyDescent="0.35"/>
    <row r="111" ht="25" customHeight="1" x14ac:dyDescent="0.35"/>
    <row r="112" ht="25" customHeight="1" x14ac:dyDescent="0.35"/>
    <row r="113" ht="25" customHeight="1" x14ac:dyDescent="0.35"/>
    <row r="114" ht="25" customHeight="1" x14ac:dyDescent="0.35"/>
    <row r="115" ht="25" customHeight="1" x14ac:dyDescent="0.35"/>
    <row r="116" ht="25" customHeight="1" x14ac:dyDescent="0.35"/>
    <row r="117" ht="25" customHeight="1" x14ac:dyDescent="0.35"/>
    <row r="118" ht="25" customHeight="1" x14ac:dyDescent="0.35"/>
    <row r="119" ht="25" customHeight="1" x14ac:dyDescent="0.35"/>
    <row r="120" ht="25" customHeight="1" x14ac:dyDescent="0.35"/>
    <row r="121" ht="25" customHeight="1" x14ac:dyDescent="0.35"/>
    <row r="122" ht="25" customHeight="1" x14ac:dyDescent="0.35"/>
    <row r="123" ht="25" customHeight="1" x14ac:dyDescent="0.35"/>
    <row r="124" ht="25" customHeight="1" x14ac:dyDescent="0.35"/>
    <row r="125" ht="25" customHeight="1" x14ac:dyDescent="0.35"/>
    <row r="126" ht="25" customHeight="1" x14ac:dyDescent="0.35"/>
    <row r="127" ht="25" customHeight="1" x14ac:dyDescent="0.35"/>
    <row r="128" ht="25" customHeight="1" x14ac:dyDescent="0.35"/>
    <row r="129" ht="25" customHeight="1" x14ac:dyDescent="0.35"/>
    <row r="130" ht="25" customHeight="1" x14ac:dyDescent="0.35"/>
    <row r="131" ht="25" customHeight="1" x14ac:dyDescent="0.35"/>
    <row r="132" ht="25" customHeight="1" x14ac:dyDescent="0.35"/>
    <row r="133" ht="25" customHeight="1" x14ac:dyDescent="0.35"/>
    <row r="134" ht="25" customHeight="1" x14ac:dyDescent="0.35"/>
    <row r="135" ht="25" customHeight="1" x14ac:dyDescent="0.35"/>
    <row r="136" ht="25" customHeight="1" x14ac:dyDescent="0.35"/>
    <row r="137" ht="25" customHeight="1" x14ac:dyDescent="0.35"/>
    <row r="138" ht="25" customHeight="1" x14ac:dyDescent="0.35"/>
    <row r="139" ht="25" customHeight="1" x14ac:dyDescent="0.35"/>
    <row r="140" ht="25" customHeight="1" x14ac:dyDescent="0.35"/>
    <row r="141" ht="25" customHeight="1" x14ac:dyDescent="0.35"/>
    <row r="142" ht="25" customHeight="1" x14ac:dyDescent="0.35"/>
    <row r="143" ht="25" customHeight="1" x14ac:dyDescent="0.35"/>
    <row r="144" ht="25" customHeight="1" x14ac:dyDescent="0.35"/>
    <row r="145" ht="25" customHeight="1" x14ac:dyDescent="0.35"/>
    <row r="146" ht="25" customHeight="1" x14ac:dyDescent="0.35"/>
    <row r="147" ht="25" customHeight="1" x14ac:dyDescent="0.35"/>
    <row r="148" ht="25" customHeight="1" x14ac:dyDescent="0.35"/>
    <row r="149" ht="25" customHeight="1" x14ac:dyDescent="0.35"/>
    <row r="150" ht="25" customHeight="1" x14ac:dyDescent="0.35"/>
    <row r="151" ht="25" customHeight="1" x14ac:dyDescent="0.35"/>
    <row r="152" ht="25" customHeight="1" x14ac:dyDescent="0.35"/>
    <row r="153" ht="25" customHeight="1" x14ac:dyDescent="0.35"/>
    <row r="154" ht="25" customHeight="1" x14ac:dyDescent="0.35"/>
    <row r="155" ht="25" customHeight="1" x14ac:dyDescent="0.35"/>
    <row r="156" ht="25" customHeight="1" x14ac:dyDescent="0.35"/>
    <row r="157" ht="25" customHeight="1" x14ac:dyDescent="0.35"/>
    <row r="158" ht="25" customHeight="1" x14ac:dyDescent="0.35"/>
    <row r="159" ht="25" customHeight="1" x14ac:dyDescent="0.35"/>
    <row r="160" ht="25" customHeight="1" x14ac:dyDescent="0.35"/>
    <row r="161" ht="25" customHeight="1" x14ac:dyDescent="0.35"/>
    <row r="162" ht="25" customHeight="1" x14ac:dyDescent="0.35"/>
    <row r="163" ht="25" customHeight="1" x14ac:dyDescent="0.35"/>
    <row r="164" ht="25" customHeight="1" x14ac:dyDescent="0.35"/>
    <row r="165" ht="25" customHeight="1" x14ac:dyDescent="0.35"/>
    <row r="166" ht="25" customHeight="1" x14ac:dyDescent="0.35"/>
    <row r="167" ht="25" customHeight="1" x14ac:dyDescent="0.35"/>
    <row r="168" ht="25" customHeight="1" x14ac:dyDescent="0.35"/>
    <row r="169" ht="25" customHeight="1" x14ac:dyDescent="0.35"/>
    <row r="170" ht="25" customHeight="1" x14ac:dyDescent="0.35"/>
    <row r="171" ht="25" customHeight="1" x14ac:dyDescent="0.35"/>
    <row r="172" ht="25" customHeight="1" x14ac:dyDescent="0.35"/>
    <row r="173" ht="25" customHeight="1" x14ac:dyDescent="0.35"/>
    <row r="174" ht="25" customHeight="1" x14ac:dyDescent="0.35"/>
    <row r="175" ht="25" customHeight="1" x14ac:dyDescent="0.35"/>
    <row r="176" ht="25" customHeight="1" x14ac:dyDescent="0.35"/>
    <row r="177" ht="25" customHeight="1" x14ac:dyDescent="0.35"/>
    <row r="178" ht="25" customHeight="1" x14ac:dyDescent="0.35"/>
    <row r="179" ht="25" customHeight="1" x14ac:dyDescent="0.35"/>
    <row r="180" ht="25" customHeight="1" x14ac:dyDescent="0.35"/>
    <row r="181" ht="25" customHeight="1" x14ac:dyDescent="0.35"/>
    <row r="182" ht="25" customHeight="1" x14ac:dyDescent="0.35"/>
    <row r="183" ht="25" customHeight="1" x14ac:dyDescent="0.35"/>
    <row r="184" ht="25" customHeight="1" x14ac:dyDescent="0.35"/>
    <row r="185" ht="25" customHeight="1" x14ac:dyDescent="0.35"/>
    <row r="186" ht="25" customHeight="1" x14ac:dyDescent="0.35"/>
    <row r="187" ht="25" customHeight="1" x14ac:dyDescent="0.35"/>
    <row r="188" ht="25" customHeight="1" x14ac:dyDescent="0.35"/>
    <row r="189" ht="25" customHeight="1" x14ac:dyDescent="0.35"/>
    <row r="190" ht="25" customHeight="1" x14ac:dyDescent="0.35"/>
    <row r="191" ht="25" customHeight="1" x14ac:dyDescent="0.35"/>
    <row r="192" ht="25" customHeight="1" x14ac:dyDescent="0.35"/>
    <row r="193" ht="25" customHeight="1" x14ac:dyDescent="0.35"/>
    <row r="194" ht="25" customHeight="1" x14ac:dyDescent="0.35"/>
    <row r="195" ht="25" customHeight="1" x14ac:dyDescent="0.35"/>
    <row r="196" ht="25" customHeight="1" x14ac:dyDescent="0.35"/>
    <row r="197" ht="25" customHeight="1" x14ac:dyDescent="0.35"/>
    <row r="198" ht="25" customHeight="1" x14ac:dyDescent="0.35"/>
    <row r="199" ht="25" customHeight="1" x14ac:dyDescent="0.35"/>
    <row r="200" ht="25" customHeight="1" x14ac:dyDescent="0.35"/>
    <row r="201" ht="25" customHeight="1" x14ac:dyDescent="0.35"/>
    <row r="202" ht="25" customHeight="1" x14ac:dyDescent="0.35"/>
    <row r="203" ht="25" customHeight="1" x14ac:dyDescent="0.35"/>
    <row r="204" ht="25" customHeight="1" x14ac:dyDescent="0.35"/>
    <row r="205" ht="25" customHeight="1" x14ac:dyDescent="0.35"/>
    <row r="206" ht="25" customHeight="1" x14ac:dyDescent="0.35"/>
    <row r="207" ht="25" customHeight="1" x14ac:dyDescent="0.35"/>
    <row r="208" ht="25" customHeight="1" x14ac:dyDescent="0.35"/>
    <row r="209" ht="25" customHeight="1" x14ac:dyDescent="0.35"/>
    <row r="210" ht="25" customHeight="1" x14ac:dyDescent="0.35"/>
    <row r="211" ht="25" customHeight="1" x14ac:dyDescent="0.35"/>
    <row r="212" ht="25" customHeight="1" x14ac:dyDescent="0.35"/>
    <row r="213" ht="25" customHeight="1" x14ac:dyDescent="0.35"/>
    <row r="214" ht="25" customHeight="1" x14ac:dyDescent="0.35"/>
    <row r="215" ht="25" customHeight="1" x14ac:dyDescent="0.35"/>
    <row r="216" ht="25" customHeight="1" x14ac:dyDescent="0.35"/>
    <row r="217" ht="25" customHeight="1" x14ac:dyDescent="0.35"/>
    <row r="218" ht="25" customHeight="1" x14ac:dyDescent="0.35"/>
    <row r="219" ht="25" customHeight="1" x14ac:dyDescent="0.35"/>
    <row r="220" ht="25" customHeight="1" x14ac:dyDescent="0.35"/>
    <row r="221" ht="25" customHeight="1" x14ac:dyDescent="0.35"/>
    <row r="222" ht="25" customHeight="1" x14ac:dyDescent="0.35"/>
    <row r="223" ht="25" customHeight="1" x14ac:dyDescent="0.35"/>
    <row r="224" ht="25" customHeight="1" x14ac:dyDescent="0.35"/>
    <row r="225" ht="25" customHeight="1" x14ac:dyDescent="0.35"/>
    <row r="226" ht="25" customHeight="1" x14ac:dyDescent="0.35"/>
    <row r="227" ht="25" customHeight="1" x14ac:dyDescent="0.35"/>
    <row r="228" ht="25" customHeight="1" x14ac:dyDescent="0.35"/>
    <row r="229" ht="25" customHeight="1" x14ac:dyDescent="0.35"/>
    <row r="230" ht="25" customHeight="1" x14ac:dyDescent="0.35"/>
    <row r="231" ht="25" customHeight="1" x14ac:dyDescent="0.35"/>
    <row r="232" ht="25" customHeight="1" x14ac:dyDescent="0.35"/>
    <row r="233" ht="25" customHeight="1" x14ac:dyDescent="0.35"/>
    <row r="234" ht="25" customHeight="1" x14ac:dyDescent="0.35"/>
    <row r="235" ht="25" customHeight="1" x14ac:dyDescent="0.35"/>
    <row r="236" ht="25" customHeight="1" x14ac:dyDescent="0.35"/>
    <row r="237" ht="25" customHeight="1" x14ac:dyDescent="0.35"/>
    <row r="238" ht="25" customHeight="1" x14ac:dyDescent="0.35"/>
    <row r="239" ht="25" customHeight="1" x14ac:dyDescent="0.35"/>
    <row r="240" ht="25" customHeight="1" x14ac:dyDescent="0.35"/>
    <row r="241" ht="25" customHeight="1" x14ac:dyDescent="0.35"/>
    <row r="242" ht="25" customHeight="1" x14ac:dyDescent="0.35"/>
    <row r="243" ht="25" customHeight="1" x14ac:dyDescent="0.35"/>
    <row r="244" ht="25" customHeight="1" x14ac:dyDescent="0.35"/>
    <row r="245" ht="25" customHeight="1" x14ac:dyDescent="0.35"/>
    <row r="246" ht="25" customHeight="1" x14ac:dyDescent="0.35"/>
    <row r="247" ht="25" customHeight="1" x14ac:dyDescent="0.35"/>
    <row r="248" ht="25" customHeight="1" x14ac:dyDescent="0.35"/>
    <row r="249" ht="25" customHeight="1" x14ac:dyDescent="0.35"/>
    <row r="250" ht="25" customHeight="1" x14ac:dyDescent="0.35"/>
    <row r="251" ht="25" customHeight="1" x14ac:dyDescent="0.35"/>
    <row r="252" ht="25" customHeight="1" x14ac:dyDescent="0.35"/>
    <row r="253" ht="25" customHeight="1" x14ac:dyDescent="0.35"/>
    <row r="254" ht="25" customHeight="1" x14ac:dyDescent="0.35"/>
    <row r="255" ht="25" customHeight="1" x14ac:dyDescent="0.35"/>
    <row r="256" ht="25" customHeight="1" x14ac:dyDescent="0.35"/>
    <row r="257" ht="25" customHeight="1" x14ac:dyDescent="0.35"/>
    <row r="258" ht="25" customHeight="1" x14ac:dyDescent="0.35"/>
    <row r="259" ht="25" customHeight="1" x14ac:dyDescent="0.35"/>
    <row r="260" ht="25" customHeight="1" x14ac:dyDescent="0.35"/>
    <row r="261" ht="25" customHeight="1" x14ac:dyDescent="0.35"/>
    <row r="262" ht="25" customHeight="1" x14ac:dyDescent="0.35"/>
    <row r="263" ht="25" customHeight="1" x14ac:dyDescent="0.35"/>
    <row r="264" ht="25" customHeight="1" x14ac:dyDescent="0.35"/>
    <row r="265" ht="25" customHeight="1" x14ac:dyDescent="0.35"/>
    <row r="266" ht="25" customHeight="1" x14ac:dyDescent="0.35"/>
    <row r="267" ht="25" customHeight="1" x14ac:dyDescent="0.35"/>
    <row r="268" ht="25" customHeight="1" x14ac:dyDescent="0.35"/>
    <row r="269" ht="25" customHeight="1" x14ac:dyDescent="0.35"/>
    <row r="270" ht="25" customHeight="1" x14ac:dyDescent="0.35"/>
    <row r="271" ht="25" customHeight="1" x14ac:dyDescent="0.35"/>
    <row r="272" ht="25" customHeight="1" x14ac:dyDescent="0.35"/>
    <row r="273" ht="25" customHeight="1" x14ac:dyDescent="0.35"/>
    <row r="274" ht="25" customHeight="1" x14ac:dyDescent="0.35"/>
    <row r="275" ht="25" customHeight="1" x14ac:dyDescent="0.35"/>
    <row r="276" ht="25" customHeight="1" x14ac:dyDescent="0.35"/>
    <row r="277" ht="25" customHeight="1" x14ac:dyDescent="0.35"/>
    <row r="278" ht="25" customHeight="1" x14ac:dyDescent="0.35"/>
    <row r="279" ht="25" customHeight="1" x14ac:dyDescent="0.35"/>
    <row r="280" ht="25" customHeight="1" x14ac:dyDescent="0.35"/>
    <row r="281" ht="25" customHeight="1" x14ac:dyDescent="0.35"/>
    <row r="282" ht="25" customHeight="1" x14ac:dyDescent="0.35"/>
    <row r="283" ht="25" customHeight="1" x14ac:dyDescent="0.35"/>
    <row r="284" ht="25" customHeight="1" x14ac:dyDescent="0.35"/>
    <row r="285" ht="25" customHeight="1" x14ac:dyDescent="0.35"/>
    <row r="286" ht="25" customHeight="1" x14ac:dyDescent="0.35"/>
    <row r="287" ht="25" customHeight="1" x14ac:dyDescent="0.35"/>
    <row r="288" ht="25" customHeight="1" x14ac:dyDescent="0.35"/>
    <row r="289" ht="25" customHeight="1" x14ac:dyDescent="0.35"/>
    <row r="290" ht="25" customHeight="1" x14ac:dyDescent="0.35"/>
    <row r="291" ht="25" customHeight="1" x14ac:dyDescent="0.35"/>
    <row r="292" ht="25" customHeight="1" x14ac:dyDescent="0.35"/>
    <row r="293" ht="25" customHeight="1" x14ac:dyDescent="0.35"/>
    <row r="294" ht="25" customHeight="1" x14ac:dyDescent="0.35"/>
    <row r="295" ht="25" customHeight="1" x14ac:dyDescent="0.35"/>
    <row r="296" ht="25" customHeight="1" x14ac:dyDescent="0.35"/>
    <row r="297" ht="25" customHeight="1" x14ac:dyDescent="0.35"/>
    <row r="298" ht="25" customHeight="1" x14ac:dyDescent="0.35"/>
    <row r="299" ht="25" customHeight="1" x14ac:dyDescent="0.35"/>
    <row r="300" ht="25" customHeight="1" x14ac:dyDescent="0.35"/>
    <row r="301" ht="25" customHeight="1" x14ac:dyDescent="0.35"/>
    <row r="302" ht="25" customHeight="1" x14ac:dyDescent="0.35"/>
    <row r="303" ht="25" customHeight="1" x14ac:dyDescent="0.35"/>
    <row r="304" ht="25" customHeight="1" x14ac:dyDescent="0.35"/>
    <row r="305" ht="25" customHeight="1" x14ac:dyDescent="0.35"/>
    <row r="306" ht="25" customHeight="1" x14ac:dyDescent="0.35"/>
    <row r="307" ht="25" customHeight="1" x14ac:dyDescent="0.35"/>
    <row r="308" ht="25" customHeight="1" x14ac:dyDescent="0.35"/>
    <row r="309" ht="25" customHeight="1" x14ac:dyDescent="0.35"/>
    <row r="310" ht="25" customHeight="1" x14ac:dyDescent="0.35"/>
    <row r="311" ht="25" customHeight="1" x14ac:dyDescent="0.35"/>
    <row r="312" ht="25" customHeight="1" x14ac:dyDescent="0.35"/>
    <row r="313" ht="25" customHeight="1" x14ac:dyDescent="0.35"/>
    <row r="314" ht="25" customHeight="1" x14ac:dyDescent="0.35"/>
    <row r="315" ht="25" customHeight="1" x14ac:dyDescent="0.35"/>
    <row r="316" ht="25" customHeight="1" x14ac:dyDescent="0.35"/>
    <row r="317" ht="25" customHeight="1" x14ac:dyDescent="0.35"/>
    <row r="318" ht="25" customHeight="1" x14ac:dyDescent="0.35"/>
    <row r="319" ht="25" customHeight="1" x14ac:dyDescent="0.35"/>
    <row r="320" ht="25" customHeight="1" x14ac:dyDescent="0.35"/>
    <row r="321" ht="25" customHeight="1" x14ac:dyDescent="0.35"/>
    <row r="322" ht="25" customHeight="1" x14ac:dyDescent="0.35"/>
    <row r="323" ht="25" customHeight="1" x14ac:dyDescent="0.35"/>
    <row r="324" ht="25" customHeight="1" x14ac:dyDescent="0.35"/>
    <row r="325" ht="25" customHeight="1" x14ac:dyDescent="0.35"/>
    <row r="326" ht="25" customHeight="1" x14ac:dyDescent="0.35"/>
    <row r="327" ht="25" customHeight="1" x14ac:dyDescent="0.35"/>
    <row r="328" ht="25" customHeight="1" x14ac:dyDescent="0.35"/>
    <row r="329" ht="25" customHeight="1" x14ac:dyDescent="0.35"/>
    <row r="330" ht="25" customHeight="1" x14ac:dyDescent="0.35"/>
    <row r="331" ht="25" customHeight="1" x14ac:dyDescent="0.35"/>
    <row r="332" ht="25" customHeight="1" x14ac:dyDescent="0.35"/>
    <row r="333" ht="25" customHeight="1" x14ac:dyDescent="0.35"/>
    <row r="334" ht="25" customHeight="1" x14ac:dyDescent="0.35"/>
    <row r="335" ht="25" customHeight="1" x14ac:dyDescent="0.35"/>
    <row r="336" ht="25" customHeight="1" x14ac:dyDescent="0.35"/>
    <row r="337" ht="25" customHeight="1" x14ac:dyDescent="0.35"/>
    <row r="338" ht="25" customHeight="1" x14ac:dyDescent="0.35"/>
    <row r="339" ht="25" customHeight="1" x14ac:dyDescent="0.35"/>
    <row r="340" ht="25" customHeight="1" x14ac:dyDescent="0.35"/>
    <row r="341" ht="25" customHeight="1" x14ac:dyDescent="0.35"/>
    <row r="342" ht="25" customHeight="1" x14ac:dyDescent="0.35"/>
    <row r="343" ht="25" customHeight="1" x14ac:dyDescent="0.35"/>
    <row r="344" ht="25" customHeight="1" x14ac:dyDescent="0.35"/>
    <row r="345" ht="25" customHeight="1" x14ac:dyDescent="0.35"/>
    <row r="346" ht="25" customHeight="1" x14ac:dyDescent="0.35"/>
    <row r="347" ht="25" customHeight="1" x14ac:dyDescent="0.35"/>
    <row r="348" ht="25" customHeight="1" x14ac:dyDescent="0.35"/>
    <row r="349" ht="25" customHeight="1" x14ac:dyDescent="0.35"/>
    <row r="350" ht="25" customHeight="1" x14ac:dyDescent="0.35"/>
    <row r="351" ht="25" customHeight="1" x14ac:dyDescent="0.35"/>
    <row r="352" ht="25" customHeight="1" x14ac:dyDescent="0.35"/>
    <row r="353" ht="25" customHeight="1" x14ac:dyDescent="0.35"/>
    <row r="354" ht="25" customHeight="1" x14ac:dyDescent="0.35"/>
    <row r="355" ht="25" customHeight="1" x14ac:dyDescent="0.35"/>
    <row r="356" ht="25" customHeight="1" x14ac:dyDescent="0.35"/>
    <row r="357" ht="25" customHeight="1" x14ac:dyDescent="0.35"/>
    <row r="358" ht="25" customHeight="1" x14ac:dyDescent="0.35"/>
    <row r="359" ht="25" customHeight="1" x14ac:dyDescent="0.35"/>
    <row r="360" ht="25" customHeight="1" x14ac:dyDescent="0.35"/>
    <row r="361" ht="25" customHeight="1" x14ac:dyDescent="0.35"/>
    <row r="362" ht="25" customHeight="1" x14ac:dyDescent="0.35"/>
    <row r="363" ht="25" customHeight="1" x14ac:dyDescent="0.35"/>
    <row r="364" ht="25" customHeight="1" x14ac:dyDescent="0.35"/>
    <row r="365" ht="25" customHeight="1" x14ac:dyDescent="0.35"/>
    <row r="366" ht="25" customHeight="1" x14ac:dyDescent="0.35"/>
    <row r="367" ht="25" customHeight="1" x14ac:dyDescent="0.35"/>
    <row r="368" ht="25" customHeight="1" x14ac:dyDescent="0.35"/>
    <row r="369" ht="25" customHeight="1" x14ac:dyDescent="0.35"/>
    <row r="370" ht="25" customHeight="1" x14ac:dyDescent="0.35"/>
    <row r="371" ht="25" customHeight="1" x14ac:dyDescent="0.35"/>
    <row r="372" ht="25" customHeight="1" x14ac:dyDescent="0.35"/>
    <row r="373" ht="25" customHeight="1" x14ac:dyDescent="0.35"/>
    <row r="374" ht="25" customHeight="1" x14ac:dyDescent="0.35"/>
    <row r="375" ht="25" customHeight="1" x14ac:dyDescent="0.35"/>
    <row r="376" ht="25" customHeight="1" x14ac:dyDescent="0.35"/>
    <row r="377" ht="25" customHeight="1" x14ac:dyDescent="0.35"/>
    <row r="378" ht="25" customHeight="1" x14ac:dyDescent="0.35"/>
    <row r="379" ht="25" customHeight="1" x14ac:dyDescent="0.35"/>
    <row r="380" ht="25" customHeight="1" x14ac:dyDescent="0.35"/>
    <row r="381" ht="25" customHeight="1" x14ac:dyDescent="0.35"/>
    <row r="382" ht="25" customHeight="1" x14ac:dyDescent="0.35"/>
    <row r="383" ht="25" customHeight="1" x14ac:dyDescent="0.35"/>
    <row r="384" ht="25" customHeight="1" x14ac:dyDescent="0.35"/>
    <row r="385" ht="25" customHeight="1" x14ac:dyDescent="0.35"/>
    <row r="386" ht="25" customHeight="1" x14ac:dyDescent="0.35"/>
    <row r="387" ht="25" customHeight="1" x14ac:dyDescent="0.35"/>
    <row r="388" ht="25" customHeight="1" x14ac:dyDescent="0.35"/>
    <row r="389" ht="25" customHeight="1" x14ac:dyDescent="0.35"/>
    <row r="390" ht="25" customHeight="1" x14ac:dyDescent="0.35"/>
    <row r="391" ht="25" customHeight="1" x14ac:dyDescent="0.35"/>
    <row r="392" ht="25" customHeight="1" x14ac:dyDescent="0.35"/>
    <row r="393" ht="25" customHeight="1" x14ac:dyDescent="0.35"/>
    <row r="394" ht="25" customHeight="1" x14ac:dyDescent="0.35"/>
    <row r="395" ht="25" customHeight="1" x14ac:dyDescent="0.35"/>
    <row r="396" ht="25" customHeight="1" x14ac:dyDescent="0.35"/>
    <row r="397" ht="25" customHeight="1" x14ac:dyDescent="0.35"/>
    <row r="398" ht="25" customHeight="1" x14ac:dyDescent="0.35"/>
    <row r="399" ht="25" customHeight="1" x14ac:dyDescent="0.35"/>
    <row r="400" ht="25" customHeight="1" x14ac:dyDescent="0.35"/>
    <row r="401" ht="25" customHeight="1" x14ac:dyDescent="0.35"/>
    <row r="402" ht="25" customHeight="1" x14ac:dyDescent="0.35"/>
    <row r="403" ht="25" customHeight="1" x14ac:dyDescent="0.35"/>
    <row r="404" ht="25" customHeight="1" x14ac:dyDescent="0.35"/>
    <row r="405" ht="25" customHeight="1" x14ac:dyDescent="0.35"/>
    <row r="406" ht="25" customHeight="1" x14ac:dyDescent="0.35"/>
    <row r="407" ht="25" customHeight="1" x14ac:dyDescent="0.35"/>
    <row r="408" ht="25" customHeight="1" x14ac:dyDescent="0.35"/>
    <row r="409" ht="25" customHeight="1" x14ac:dyDescent="0.35"/>
    <row r="410" ht="25" customHeight="1" x14ac:dyDescent="0.35"/>
    <row r="411" ht="25" customHeight="1" x14ac:dyDescent="0.35"/>
    <row r="412" ht="25" customHeight="1" x14ac:dyDescent="0.35"/>
    <row r="413" ht="25" customHeight="1" x14ac:dyDescent="0.35"/>
    <row r="414" ht="25" customHeight="1" x14ac:dyDescent="0.35"/>
    <row r="415" ht="25" customHeight="1" x14ac:dyDescent="0.35"/>
    <row r="416" ht="25" customHeight="1" x14ac:dyDescent="0.35"/>
    <row r="417" ht="25" customHeight="1" x14ac:dyDescent="0.35"/>
    <row r="418" ht="25" customHeight="1" x14ac:dyDescent="0.35"/>
    <row r="419" ht="25" customHeight="1" x14ac:dyDescent="0.35"/>
    <row r="420" ht="25" customHeight="1" x14ac:dyDescent="0.35"/>
    <row r="421" ht="25" customHeight="1" x14ac:dyDescent="0.35"/>
    <row r="422" ht="25" customHeight="1" x14ac:dyDescent="0.35"/>
    <row r="423" ht="25" customHeight="1" x14ac:dyDescent="0.35"/>
    <row r="424" ht="25" customHeight="1" x14ac:dyDescent="0.35"/>
    <row r="425" ht="25" customHeight="1" x14ac:dyDescent="0.35"/>
    <row r="426" ht="25" customHeight="1" x14ac:dyDescent="0.35"/>
    <row r="427" ht="25" customHeight="1" x14ac:dyDescent="0.35"/>
    <row r="428" ht="25" customHeight="1" x14ac:dyDescent="0.35"/>
    <row r="429" ht="25" customHeight="1" x14ac:dyDescent="0.35"/>
    <row r="430" ht="25" customHeight="1" x14ac:dyDescent="0.35"/>
    <row r="431" ht="25" customHeight="1" x14ac:dyDescent="0.35"/>
    <row r="432" ht="25" customHeight="1" x14ac:dyDescent="0.35"/>
    <row r="433" ht="25" customHeight="1" x14ac:dyDescent="0.35"/>
    <row r="434" ht="25" customHeight="1" x14ac:dyDescent="0.35"/>
    <row r="435" ht="25" customHeight="1" x14ac:dyDescent="0.35"/>
    <row r="436" ht="25" customHeight="1" x14ac:dyDescent="0.35"/>
    <row r="437" ht="25" customHeight="1" x14ac:dyDescent="0.35"/>
    <row r="438" ht="25" customHeight="1" x14ac:dyDescent="0.35"/>
    <row r="439" ht="25" customHeight="1" x14ac:dyDescent="0.35"/>
    <row r="440" ht="25" customHeight="1" x14ac:dyDescent="0.35"/>
    <row r="441" ht="25" customHeight="1" x14ac:dyDescent="0.35"/>
    <row r="442" ht="25" customHeight="1" x14ac:dyDescent="0.35"/>
    <row r="443" ht="25" customHeight="1" x14ac:dyDescent="0.35"/>
    <row r="444" ht="25" customHeight="1" x14ac:dyDescent="0.35"/>
    <row r="445" ht="25" customHeight="1" x14ac:dyDescent="0.35"/>
    <row r="446" ht="25" customHeight="1" x14ac:dyDescent="0.35"/>
    <row r="447" ht="25" customHeight="1" x14ac:dyDescent="0.35"/>
    <row r="448" ht="25" customHeight="1" x14ac:dyDescent="0.35"/>
    <row r="449" ht="25" customHeight="1" x14ac:dyDescent="0.35"/>
    <row r="450" ht="25" customHeight="1" x14ac:dyDescent="0.35"/>
    <row r="451" ht="25" customHeight="1" x14ac:dyDescent="0.35"/>
    <row r="452" ht="25" customHeight="1" x14ac:dyDescent="0.35"/>
    <row r="453" ht="25" customHeight="1" x14ac:dyDescent="0.35"/>
    <row r="454" ht="25" customHeight="1" x14ac:dyDescent="0.35"/>
    <row r="455" ht="25" customHeight="1" x14ac:dyDescent="0.35"/>
    <row r="456" ht="25" customHeight="1" x14ac:dyDescent="0.35"/>
    <row r="457" ht="25" customHeight="1" x14ac:dyDescent="0.35"/>
    <row r="458" ht="25" customHeight="1" x14ac:dyDescent="0.35"/>
    <row r="459" ht="25" customHeight="1" x14ac:dyDescent="0.35"/>
    <row r="460" ht="25" customHeight="1" x14ac:dyDescent="0.35"/>
    <row r="461" ht="25" customHeight="1" x14ac:dyDescent="0.35"/>
    <row r="462" ht="25" customHeight="1" x14ac:dyDescent="0.35"/>
    <row r="463" ht="25" customHeight="1" x14ac:dyDescent="0.35"/>
    <row r="464" ht="25" customHeight="1" x14ac:dyDescent="0.35"/>
    <row r="465" ht="25" customHeight="1" x14ac:dyDescent="0.35"/>
    <row r="466" ht="25" customHeight="1" x14ac:dyDescent="0.35"/>
    <row r="467" ht="25" customHeight="1" x14ac:dyDescent="0.35"/>
    <row r="468" ht="25" customHeight="1" x14ac:dyDescent="0.35"/>
    <row r="469" ht="25" customHeight="1" x14ac:dyDescent="0.35"/>
    <row r="470" ht="25" customHeight="1" x14ac:dyDescent="0.35"/>
    <row r="471" ht="25" customHeight="1" x14ac:dyDescent="0.35"/>
    <row r="472" ht="25" customHeight="1" x14ac:dyDescent="0.35"/>
    <row r="473" ht="25" customHeight="1" x14ac:dyDescent="0.35"/>
    <row r="474" ht="25" customHeight="1" x14ac:dyDescent="0.35"/>
    <row r="475" ht="25" customHeight="1" x14ac:dyDescent="0.35"/>
    <row r="476" ht="25" customHeight="1" x14ac:dyDescent="0.35"/>
    <row r="477" ht="25" customHeight="1" x14ac:dyDescent="0.35"/>
    <row r="478" ht="25" customHeight="1" x14ac:dyDescent="0.35"/>
    <row r="479" ht="25" customHeight="1" x14ac:dyDescent="0.35"/>
    <row r="480" ht="25" customHeight="1" x14ac:dyDescent="0.35"/>
    <row r="481" ht="25" customHeight="1" x14ac:dyDescent="0.35"/>
    <row r="482" ht="25" customHeight="1" x14ac:dyDescent="0.35"/>
    <row r="483" ht="25" customHeight="1" x14ac:dyDescent="0.35"/>
    <row r="484" ht="25" customHeight="1" x14ac:dyDescent="0.35"/>
    <row r="485" ht="25" customHeight="1" x14ac:dyDescent="0.35"/>
    <row r="486" ht="25" customHeight="1" x14ac:dyDescent="0.35"/>
    <row r="487" ht="25" customHeight="1" x14ac:dyDescent="0.35"/>
    <row r="488" ht="25" customHeight="1" x14ac:dyDescent="0.35"/>
    <row r="489" ht="25" customHeight="1" x14ac:dyDescent="0.35"/>
    <row r="490" ht="25" customHeight="1" x14ac:dyDescent="0.35"/>
    <row r="491" ht="25" customHeight="1" x14ac:dyDescent="0.35"/>
    <row r="492" ht="25" customHeight="1" x14ac:dyDescent="0.35"/>
    <row r="493" ht="25" customHeight="1" x14ac:dyDescent="0.35"/>
    <row r="494" ht="25" customHeight="1" x14ac:dyDescent="0.35"/>
    <row r="495" ht="25" customHeight="1" x14ac:dyDescent="0.35"/>
    <row r="496" ht="25" customHeight="1" x14ac:dyDescent="0.35"/>
    <row r="497" ht="25" customHeight="1" x14ac:dyDescent="0.35"/>
    <row r="498" ht="25" customHeight="1" x14ac:dyDescent="0.35"/>
    <row r="499" ht="25" customHeight="1" x14ac:dyDescent="0.35"/>
    <row r="500" ht="25" customHeight="1" x14ac:dyDescent="0.35"/>
    <row r="501" ht="25" customHeight="1" x14ac:dyDescent="0.35"/>
    <row r="502" ht="25" customHeight="1" x14ac:dyDescent="0.35"/>
    <row r="503" ht="25" customHeight="1" x14ac:dyDescent="0.35"/>
    <row r="504" ht="25" customHeight="1" x14ac:dyDescent="0.35"/>
    <row r="505" ht="25" customHeight="1" x14ac:dyDescent="0.35"/>
    <row r="506" ht="25" customHeight="1" x14ac:dyDescent="0.35"/>
    <row r="507" ht="25" customHeight="1" x14ac:dyDescent="0.35"/>
    <row r="508" ht="25" customHeight="1" x14ac:dyDescent="0.35"/>
    <row r="509" ht="25" customHeight="1" x14ac:dyDescent="0.35"/>
    <row r="510" ht="25" customHeight="1" x14ac:dyDescent="0.35"/>
    <row r="511" ht="25" customHeight="1" x14ac:dyDescent="0.35"/>
    <row r="512" ht="25" customHeight="1" x14ac:dyDescent="0.35"/>
    <row r="513" ht="25" customHeight="1" x14ac:dyDescent="0.35"/>
    <row r="514" ht="25" customHeight="1" x14ac:dyDescent="0.35"/>
    <row r="515" ht="25" customHeight="1" x14ac:dyDescent="0.35"/>
    <row r="516" ht="25" customHeight="1" x14ac:dyDescent="0.35"/>
    <row r="517" ht="25" customHeight="1" x14ac:dyDescent="0.35"/>
    <row r="518" ht="25" customHeight="1" x14ac:dyDescent="0.35"/>
    <row r="519" ht="25" customHeight="1" x14ac:dyDescent="0.35"/>
    <row r="520" ht="25" customHeight="1" x14ac:dyDescent="0.35"/>
    <row r="521" ht="25" customHeight="1" x14ac:dyDescent="0.35"/>
    <row r="522" ht="25" customHeight="1" x14ac:dyDescent="0.35"/>
    <row r="523" ht="25" customHeight="1" x14ac:dyDescent="0.35"/>
    <row r="524" ht="25" customHeight="1" x14ac:dyDescent="0.35"/>
    <row r="525" ht="25" customHeight="1" x14ac:dyDescent="0.35"/>
    <row r="526" ht="25" customHeight="1" x14ac:dyDescent="0.35"/>
    <row r="527" ht="25" customHeight="1" x14ac:dyDescent="0.35"/>
    <row r="528" ht="25" customHeight="1" x14ac:dyDescent="0.35"/>
    <row r="529" ht="25" customHeight="1" x14ac:dyDescent="0.35"/>
    <row r="530" ht="25" customHeight="1" x14ac:dyDescent="0.35"/>
    <row r="531" ht="25" customHeight="1" x14ac:dyDescent="0.35"/>
    <row r="532" ht="25" customHeight="1" x14ac:dyDescent="0.35"/>
    <row r="533" ht="25" customHeight="1" x14ac:dyDescent="0.35"/>
    <row r="534" ht="25" customHeight="1" x14ac:dyDescent="0.35"/>
    <row r="535" ht="25" customHeight="1" x14ac:dyDescent="0.35"/>
    <row r="536" ht="25" customHeight="1" x14ac:dyDescent="0.35"/>
    <row r="537" ht="25" customHeight="1" x14ac:dyDescent="0.35"/>
    <row r="538" ht="25" customHeight="1" x14ac:dyDescent="0.35"/>
    <row r="539" ht="25" customHeight="1" x14ac:dyDescent="0.35"/>
    <row r="540" ht="25" customHeight="1" x14ac:dyDescent="0.35"/>
    <row r="541" ht="25" customHeight="1" x14ac:dyDescent="0.35"/>
    <row r="542" ht="25" customHeight="1" x14ac:dyDescent="0.35"/>
    <row r="543" ht="25" customHeight="1" x14ac:dyDescent="0.35"/>
    <row r="544" ht="25" customHeight="1" x14ac:dyDescent="0.35"/>
    <row r="545" ht="25" customHeight="1" x14ac:dyDescent="0.35"/>
    <row r="546" ht="25" customHeight="1" x14ac:dyDescent="0.35"/>
    <row r="547" ht="25" customHeight="1" x14ac:dyDescent="0.35"/>
    <row r="548" ht="25" customHeight="1" x14ac:dyDescent="0.35"/>
    <row r="549" ht="25" customHeight="1" x14ac:dyDescent="0.35"/>
    <row r="550" ht="25" customHeight="1" x14ac:dyDescent="0.35"/>
    <row r="551" ht="25" customHeight="1" x14ac:dyDescent="0.35"/>
    <row r="552" ht="25" customHeight="1" x14ac:dyDescent="0.35"/>
    <row r="553" ht="25" customHeight="1" x14ac:dyDescent="0.35"/>
    <row r="554" ht="25" customHeight="1" x14ac:dyDescent="0.35"/>
    <row r="555" ht="25" customHeight="1" x14ac:dyDescent="0.35"/>
    <row r="556" ht="25" customHeight="1" x14ac:dyDescent="0.35"/>
    <row r="557" ht="25" customHeight="1" x14ac:dyDescent="0.35"/>
    <row r="558" ht="25" customHeight="1" x14ac:dyDescent="0.35"/>
    <row r="559" ht="25" customHeight="1" x14ac:dyDescent="0.35"/>
    <row r="560" ht="25" customHeight="1" x14ac:dyDescent="0.35"/>
    <row r="561" ht="25" customHeight="1" x14ac:dyDescent="0.35"/>
    <row r="562" ht="25" customHeight="1" x14ac:dyDescent="0.35"/>
    <row r="563" ht="25" customHeight="1" x14ac:dyDescent="0.35"/>
    <row r="564" ht="25" customHeight="1" x14ac:dyDescent="0.35"/>
    <row r="565" ht="25" customHeight="1" x14ac:dyDescent="0.35"/>
    <row r="566" ht="25" customHeight="1" x14ac:dyDescent="0.35"/>
    <row r="567" ht="25" customHeight="1" x14ac:dyDescent="0.35"/>
    <row r="568" ht="25" customHeight="1" x14ac:dyDescent="0.35"/>
    <row r="569" ht="25" customHeight="1" x14ac:dyDescent="0.35"/>
    <row r="570" ht="25" customHeight="1" x14ac:dyDescent="0.35"/>
    <row r="571" ht="25" customHeight="1" x14ac:dyDescent="0.35"/>
    <row r="572" ht="25" customHeight="1" x14ac:dyDescent="0.35"/>
    <row r="573" ht="25" customHeight="1" x14ac:dyDescent="0.35"/>
    <row r="574" ht="25" customHeight="1" x14ac:dyDescent="0.35"/>
    <row r="575" ht="25" customHeight="1" x14ac:dyDescent="0.35"/>
    <row r="576" ht="25" customHeight="1" x14ac:dyDescent="0.35"/>
    <row r="577" ht="25" customHeight="1" x14ac:dyDescent="0.35"/>
    <row r="578" ht="25" customHeight="1" x14ac:dyDescent="0.35"/>
    <row r="579" ht="25" customHeight="1" x14ac:dyDescent="0.35"/>
    <row r="580" ht="25" customHeight="1" x14ac:dyDescent="0.35"/>
    <row r="581" ht="25" customHeight="1" x14ac:dyDescent="0.35"/>
    <row r="582" ht="25" customHeight="1" x14ac:dyDescent="0.35"/>
    <row r="583" ht="25" customHeight="1" x14ac:dyDescent="0.35"/>
    <row r="584" ht="25" customHeight="1" x14ac:dyDescent="0.35"/>
    <row r="585" ht="25" customHeight="1" x14ac:dyDescent="0.35"/>
    <row r="586" ht="25" customHeight="1" x14ac:dyDescent="0.35"/>
    <row r="587" ht="25" customHeight="1" x14ac:dyDescent="0.35"/>
    <row r="588" ht="25" customHeight="1" x14ac:dyDescent="0.35"/>
    <row r="589" ht="25" customHeight="1" x14ac:dyDescent="0.35"/>
    <row r="590" ht="25" customHeight="1" x14ac:dyDescent="0.35"/>
    <row r="591" ht="25" customHeight="1" x14ac:dyDescent="0.35"/>
    <row r="592" ht="25" customHeight="1" x14ac:dyDescent="0.35"/>
    <row r="593" ht="25" customHeight="1" x14ac:dyDescent="0.35"/>
    <row r="594" ht="25" customHeight="1" x14ac:dyDescent="0.35"/>
    <row r="595" ht="25" customHeight="1" x14ac:dyDescent="0.35"/>
    <row r="596" ht="25" customHeight="1" x14ac:dyDescent="0.35"/>
    <row r="597" ht="25" customHeight="1" x14ac:dyDescent="0.35"/>
    <row r="598" ht="25" customHeight="1" x14ac:dyDescent="0.35"/>
    <row r="599" ht="25" customHeight="1" x14ac:dyDescent="0.35"/>
    <row r="600" ht="25" customHeight="1" x14ac:dyDescent="0.35"/>
    <row r="601" ht="25" customHeight="1" x14ac:dyDescent="0.35"/>
    <row r="602" ht="25" customHeight="1" x14ac:dyDescent="0.35"/>
    <row r="603" ht="25" customHeight="1" x14ac:dyDescent="0.35"/>
    <row r="604" ht="25" customHeight="1" x14ac:dyDescent="0.35"/>
    <row r="605" ht="25" customHeight="1" x14ac:dyDescent="0.35"/>
    <row r="606" ht="25" customHeight="1" x14ac:dyDescent="0.35"/>
    <row r="607" ht="25" customHeight="1" x14ac:dyDescent="0.35"/>
    <row r="608" ht="25" customHeight="1" x14ac:dyDescent="0.35"/>
    <row r="609" ht="25" customHeight="1" x14ac:dyDescent="0.35"/>
    <row r="610" ht="25" customHeight="1" x14ac:dyDescent="0.35"/>
    <row r="611" ht="25" customHeight="1" x14ac:dyDescent="0.35"/>
    <row r="612" ht="25" customHeight="1" x14ac:dyDescent="0.35"/>
    <row r="613" ht="25" customHeight="1" x14ac:dyDescent="0.35"/>
    <row r="614" ht="25" customHeight="1" x14ac:dyDescent="0.35"/>
    <row r="615" ht="25" customHeight="1" x14ac:dyDescent="0.35"/>
    <row r="616" ht="25" customHeight="1" x14ac:dyDescent="0.35"/>
    <row r="617" ht="25" customHeight="1" x14ac:dyDescent="0.35"/>
    <row r="618" ht="25" customHeight="1" x14ac:dyDescent="0.35"/>
    <row r="619" ht="25" customHeight="1" x14ac:dyDescent="0.35"/>
    <row r="620" ht="25" customHeight="1" x14ac:dyDescent="0.35"/>
    <row r="621" ht="25" customHeight="1" x14ac:dyDescent="0.35"/>
    <row r="622" ht="25" customHeight="1" x14ac:dyDescent="0.35"/>
    <row r="623" ht="25" customHeight="1" x14ac:dyDescent="0.35"/>
    <row r="624" ht="25" customHeight="1" x14ac:dyDescent="0.35"/>
    <row r="625" ht="25" customHeight="1" x14ac:dyDescent="0.35"/>
    <row r="626" ht="25" customHeight="1" x14ac:dyDescent="0.35"/>
    <row r="627" ht="25" customHeight="1" x14ac:dyDescent="0.35"/>
    <row r="628" ht="25" customHeight="1" x14ac:dyDescent="0.35"/>
    <row r="629" ht="25" customHeight="1" x14ac:dyDescent="0.35"/>
    <row r="630" ht="25" customHeight="1" x14ac:dyDescent="0.35"/>
    <row r="631" ht="25" customHeight="1" x14ac:dyDescent="0.35"/>
    <row r="632" ht="25" customHeight="1" x14ac:dyDescent="0.35"/>
    <row r="633" ht="25" customHeight="1" x14ac:dyDescent="0.35"/>
    <row r="634" ht="25" customHeight="1" x14ac:dyDescent="0.35"/>
    <row r="635" ht="25" customHeight="1" x14ac:dyDescent="0.35"/>
    <row r="636" ht="25" customHeight="1" x14ac:dyDescent="0.35"/>
    <row r="637" ht="25" customHeight="1" x14ac:dyDescent="0.35"/>
    <row r="638" ht="25" customHeight="1" x14ac:dyDescent="0.35"/>
    <row r="639" ht="25" customHeight="1" x14ac:dyDescent="0.35"/>
    <row r="640" ht="25" customHeight="1" x14ac:dyDescent="0.35"/>
    <row r="641" ht="25" customHeight="1" x14ac:dyDescent="0.35"/>
    <row r="642" ht="25" customHeight="1" x14ac:dyDescent="0.35"/>
    <row r="643" ht="25" customHeight="1" x14ac:dyDescent="0.35"/>
    <row r="644" ht="25" customHeight="1" x14ac:dyDescent="0.35"/>
    <row r="645" ht="25" customHeight="1" x14ac:dyDescent="0.35"/>
    <row r="646" ht="25" customHeight="1" x14ac:dyDescent="0.35"/>
    <row r="647" ht="25" customHeight="1" x14ac:dyDescent="0.35"/>
    <row r="648" ht="25" customHeight="1" x14ac:dyDescent="0.35"/>
    <row r="649" ht="25" customHeight="1" x14ac:dyDescent="0.35"/>
    <row r="650" ht="25" customHeight="1" x14ac:dyDescent="0.35"/>
    <row r="651" ht="25" customHeight="1" x14ac:dyDescent="0.35"/>
    <row r="652" ht="25" customHeight="1" x14ac:dyDescent="0.35"/>
    <row r="653" ht="25" customHeight="1" x14ac:dyDescent="0.35"/>
    <row r="654" ht="25" customHeight="1" x14ac:dyDescent="0.35"/>
    <row r="655" ht="25" customHeight="1" x14ac:dyDescent="0.35"/>
    <row r="656" ht="25" customHeight="1" x14ac:dyDescent="0.35"/>
    <row r="657" ht="25" customHeight="1" x14ac:dyDescent="0.35"/>
    <row r="658" ht="25" customHeight="1" x14ac:dyDescent="0.35"/>
    <row r="659" ht="25" customHeight="1" x14ac:dyDescent="0.35"/>
    <row r="660" ht="25" customHeight="1" x14ac:dyDescent="0.35"/>
    <row r="661" ht="25" customHeight="1" x14ac:dyDescent="0.35"/>
    <row r="662" ht="25" customHeight="1" x14ac:dyDescent="0.35"/>
    <row r="663" ht="25" customHeight="1" x14ac:dyDescent="0.35"/>
    <row r="664" ht="25" customHeight="1" x14ac:dyDescent="0.35"/>
    <row r="665" ht="25" customHeight="1" x14ac:dyDescent="0.35"/>
    <row r="666" ht="25" customHeight="1" x14ac:dyDescent="0.35"/>
    <row r="667" ht="25" customHeight="1" x14ac:dyDescent="0.35"/>
    <row r="668" ht="25" customHeight="1" x14ac:dyDescent="0.35"/>
    <row r="669" ht="25" customHeight="1" x14ac:dyDescent="0.35"/>
    <row r="670" ht="25" customHeight="1" x14ac:dyDescent="0.35"/>
    <row r="671" ht="25" customHeight="1" x14ac:dyDescent="0.35"/>
    <row r="672" ht="25" customHeight="1" x14ac:dyDescent="0.35"/>
    <row r="673" ht="25" customHeight="1" x14ac:dyDescent="0.35"/>
    <row r="674" ht="25" customHeight="1" x14ac:dyDescent="0.35"/>
    <row r="675" ht="25" customHeight="1" x14ac:dyDescent="0.35"/>
    <row r="676" ht="25" customHeight="1" x14ac:dyDescent="0.35"/>
    <row r="677" ht="25" customHeight="1" x14ac:dyDescent="0.35"/>
    <row r="678" ht="25" customHeight="1" x14ac:dyDescent="0.35"/>
    <row r="679" ht="25" customHeight="1" x14ac:dyDescent="0.35"/>
    <row r="680" ht="25" customHeight="1" x14ac:dyDescent="0.35"/>
    <row r="681" ht="25" customHeight="1" x14ac:dyDescent="0.35"/>
    <row r="682" ht="25" customHeight="1" x14ac:dyDescent="0.35"/>
    <row r="683" ht="25" customHeight="1" x14ac:dyDescent="0.35"/>
    <row r="684" ht="25" customHeight="1" x14ac:dyDescent="0.35"/>
    <row r="685" ht="25" customHeight="1" x14ac:dyDescent="0.35"/>
    <row r="686" ht="25" customHeight="1" x14ac:dyDescent="0.35"/>
    <row r="687" ht="25" customHeight="1" x14ac:dyDescent="0.35"/>
    <row r="688" ht="25" customHeight="1" x14ac:dyDescent="0.35"/>
    <row r="689" ht="25" customHeight="1" x14ac:dyDescent="0.35"/>
    <row r="690" ht="25" customHeight="1" x14ac:dyDescent="0.35"/>
    <row r="691" ht="25" customHeight="1" x14ac:dyDescent="0.35"/>
    <row r="692" ht="25" customHeight="1" x14ac:dyDescent="0.35"/>
    <row r="693" ht="25" customHeight="1" x14ac:dyDescent="0.35"/>
    <row r="694" ht="25" customHeight="1" x14ac:dyDescent="0.35"/>
    <row r="695" ht="25" customHeight="1" x14ac:dyDescent="0.35"/>
    <row r="696" ht="25" customHeight="1" x14ac:dyDescent="0.35"/>
    <row r="697" ht="25" customHeight="1" x14ac:dyDescent="0.35"/>
    <row r="698" ht="25" customHeight="1" x14ac:dyDescent="0.35"/>
    <row r="699" ht="25" customHeight="1" x14ac:dyDescent="0.35"/>
    <row r="700" ht="25" customHeight="1" x14ac:dyDescent="0.35"/>
    <row r="701" ht="25" customHeight="1" x14ac:dyDescent="0.35"/>
    <row r="702" ht="25" customHeight="1" x14ac:dyDescent="0.35"/>
    <row r="703" ht="25" customHeight="1" x14ac:dyDescent="0.35"/>
    <row r="704" ht="25" customHeight="1" x14ac:dyDescent="0.35"/>
    <row r="705" ht="25" customHeight="1" x14ac:dyDescent="0.35"/>
    <row r="706" ht="25" customHeight="1" x14ac:dyDescent="0.35"/>
    <row r="707" ht="25" customHeight="1" x14ac:dyDescent="0.35"/>
    <row r="708" ht="25" customHeight="1" x14ac:dyDescent="0.35"/>
    <row r="709" ht="25" customHeight="1" x14ac:dyDescent="0.35"/>
    <row r="710" ht="25" customHeight="1" x14ac:dyDescent="0.35"/>
    <row r="711" ht="25" customHeight="1" x14ac:dyDescent="0.35"/>
    <row r="712" ht="25" customHeight="1" x14ac:dyDescent="0.35"/>
    <row r="713" ht="25" customHeight="1" x14ac:dyDescent="0.35"/>
    <row r="714" ht="25" customHeight="1" x14ac:dyDescent="0.35"/>
    <row r="715" ht="25" customHeight="1" x14ac:dyDescent="0.35"/>
    <row r="716" ht="25" customHeight="1" x14ac:dyDescent="0.35"/>
    <row r="717" ht="25" customHeight="1" x14ac:dyDescent="0.35"/>
    <row r="718" ht="25" customHeight="1" x14ac:dyDescent="0.35"/>
    <row r="719" ht="25" customHeight="1" x14ac:dyDescent="0.35"/>
    <row r="720" ht="25" customHeight="1" x14ac:dyDescent="0.35"/>
    <row r="721" ht="25" customHeight="1" x14ac:dyDescent="0.35"/>
    <row r="722" ht="25" customHeight="1" x14ac:dyDescent="0.35"/>
    <row r="723" ht="25" customHeight="1" x14ac:dyDescent="0.35"/>
    <row r="724" ht="25" customHeight="1" x14ac:dyDescent="0.35"/>
    <row r="725" ht="25" customHeight="1" x14ac:dyDescent="0.35"/>
    <row r="726" ht="25" customHeight="1" x14ac:dyDescent="0.35"/>
    <row r="727" ht="25" customHeight="1" x14ac:dyDescent="0.35"/>
    <row r="728" ht="25" customHeight="1" x14ac:dyDescent="0.35"/>
    <row r="729" ht="25" customHeight="1" x14ac:dyDescent="0.35"/>
    <row r="730" ht="25" customHeight="1" x14ac:dyDescent="0.35"/>
    <row r="731" ht="25" customHeight="1" x14ac:dyDescent="0.35"/>
    <row r="732" ht="25" customHeight="1" x14ac:dyDescent="0.35"/>
    <row r="733" ht="25" customHeight="1" x14ac:dyDescent="0.35"/>
    <row r="734" ht="25" customHeight="1" x14ac:dyDescent="0.35"/>
    <row r="735" ht="25" customHeight="1" x14ac:dyDescent="0.35"/>
    <row r="736" ht="25" customHeight="1" x14ac:dyDescent="0.35"/>
    <row r="737" ht="25" customHeight="1" x14ac:dyDescent="0.35"/>
    <row r="738" ht="25" customHeight="1" x14ac:dyDescent="0.35"/>
    <row r="739" ht="25" customHeight="1" x14ac:dyDescent="0.35"/>
    <row r="740" ht="25" customHeight="1" x14ac:dyDescent="0.35"/>
    <row r="741" ht="25" customHeight="1" x14ac:dyDescent="0.35"/>
    <row r="742" ht="25" customHeight="1" x14ac:dyDescent="0.35"/>
    <row r="743" ht="25" customHeight="1" x14ac:dyDescent="0.35"/>
    <row r="744" ht="25" customHeight="1" x14ac:dyDescent="0.35"/>
    <row r="745" ht="25" customHeight="1" x14ac:dyDescent="0.35"/>
    <row r="746" ht="25" customHeight="1" x14ac:dyDescent="0.35"/>
    <row r="747" ht="25" customHeight="1" x14ac:dyDescent="0.35"/>
    <row r="748" ht="25" customHeight="1" x14ac:dyDescent="0.35"/>
    <row r="749" ht="25" customHeight="1" x14ac:dyDescent="0.35"/>
    <row r="750" ht="25" customHeight="1" x14ac:dyDescent="0.35"/>
    <row r="751" ht="25" customHeight="1" x14ac:dyDescent="0.35"/>
    <row r="752" ht="25" customHeight="1" x14ac:dyDescent="0.35"/>
    <row r="753" ht="25" customHeight="1" x14ac:dyDescent="0.35"/>
    <row r="754" ht="25" customHeight="1" x14ac:dyDescent="0.35"/>
    <row r="755" ht="25" customHeight="1" x14ac:dyDescent="0.35"/>
    <row r="756" ht="25" customHeight="1" x14ac:dyDescent="0.35"/>
    <row r="757" ht="25" customHeight="1" x14ac:dyDescent="0.35"/>
    <row r="758" ht="25" customHeight="1" x14ac:dyDescent="0.35"/>
    <row r="759" ht="25" customHeight="1" x14ac:dyDescent="0.35"/>
    <row r="760" ht="25" customHeight="1" x14ac:dyDescent="0.35"/>
    <row r="761" ht="25" customHeight="1" x14ac:dyDescent="0.35"/>
    <row r="762" ht="25" customHeight="1" x14ac:dyDescent="0.35"/>
    <row r="763" ht="25" customHeight="1" x14ac:dyDescent="0.35"/>
    <row r="764" ht="25" customHeight="1" x14ac:dyDescent="0.35"/>
    <row r="765" ht="25" customHeight="1" x14ac:dyDescent="0.35"/>
    <row r="766" ht="25" customHeight="1" x14ac:dyDescent="0.35"/>
    <row r="767" ht="25" customHeight="1" x14ac:dyDescent="0.35"/>
    <row r="768" ht="25" customHeight="1" x14ac:dyDescent="0.35"/>
    <row r="769" ht="25" customHeight="1" x14ac:dyDescent="0.35"/>
    <row r="770" ht="25" customHeight="1" x14ac:dyDescent="0.35"/>
    <row r="771" ht="25" customHeight="1" x14ac:dyDescent="0.35"/>
    <row r="772" ht="25" customHeight="1" x14ac:dyDescent="0.35"/>
    <row r="773" ht="25" customHeight="1" x14ac:dyDescent="0.35"/>
    <row r="774" ht="25" customHeight="1" x14ac:dyDescent="0.35"/>
    <row r="775" ht="25" customHeight="1" x14ac:dyDescent="0.35"/>
    <row r="776" ht="25" customHeight="1" x14ac:dyDescent="0.35"/>
    <row r="777" ht="25" customHeight="1" x14ac:dyDescent="0.35"/>
    <row r="778" ht="25" customHeight="1" x14ac:dyDescent="0.35"/>
    <row r="779" ht="25" customHeight="1" x14ac:dyDescent="0.35"/>
    <row r="780" ht="25" customHeight="1" x14ac:dyDescent="0.35"/>
    <row r="781" ht="25" customHeight="1" x14ac:dyDescent="0.35"/>
    <row r="782" ht="25" customHeight="1" x14ac:dyDescent="0.35"/>
    <row r="783" ht="25" customHeight="1" x14ac:dyDescent="0.35"/>
  </sheetData>
  <sheetProtection algorithmName="SHA-512" hashValue="rVGgnoQVpCaqlyIaKiQhfEvuRg21eOJttn5O/pk8qkDvp7+Pdrp8/KskWu//mWBBjM2q+gxXUCQWcDqwZse5IA==" saltValue="Luuy7y//gzP6S21sos9aLQ==" spinCount="100000" sheet="1" objects="1" scenarios="1" selectLockedCells="1"/>
  <mergeCells count="6">
    <mergeCell ref="B1:H1"/>
    <mergeCell ref="B5:D5"/>
    <mergeCell ref="E2:G5"/>
    <mergeCell ref="B2:D2"/>
    <mergeCell ref="B3:D3"/>
    <mergeCell ref="B4:D4"/>
  </mergeCells>
  <conditionalFormatting sqref="F7:F79">
    <cfRule type="containsText" dxfId="7" priority="1" operator="containsText" text="ERROR">
      <formula>NOT(ISERROR(SEARCH("ERROR",F7)))</formula>
    </cfRule>
  </conditionalFormatting>
  <conditionalFormatting sqref="G7:G79">
    <cfRule type="containsText" dxfId="6" priority="4" operator="containsText" text="worked">
      <formula>NOT(ISERROR(SEARCH("worked",G7)))</formula>
    </cfRule>
  </conditionalFormatting>
  <conditionalFormatting sqref="H7:H79">
    <cfRule type="cellIs" dxfId="5" priority="2" operator="greaterThan">
      <formula>2</formula>
    </cfRule>
    <cfRule type="cellIs" dxfId="4" priority="3" operator="lessThan">
      <formula>0</formula>
    </cfRule>
  </conditionalFormatting>
  <dataValidations count="3">
    <dataValidation type="time" operator="lessThan" allowBlank="1" showInputMessage="1" showErrorMessage="1" sqref="D7:E79" xr:uid="{8F0D348F-6AD0-4CA4-BFD7-7723741D146C}">
      <formula1>0.999988425925926</formula1>
    </dataValidation>
    <dataValidation type="whole" operator="lessThan" allowBlank="1" showInputMessage="1" showErrorMessage="1" sqref="B3:D3" xr:uid="{F585A24C-67FF-4B5A-A9AB-C5BECAD13E8E}">
      <formula1>999999999</formula1>
    </dataValidation>
    <dataValidation type="decimal" errorStyle="warning" allowBlank="1" showInputMessage="1" showErrorMessage="1" errorTitle="BadInterval" error="The Duration of the Micro-Activity in INVALID_x000a_" sqref="H7" xr:uid="{2DFEAA47-E380-4595-B09E-4D01E9A729BA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date" allowBlank="1" showInputMessage="1" showErrorMessage="1" xr:uid="{D3FAB56C-F356-4066-8E1E-7DA78997A770}">
          <x14:formula1>
            <xm:f>Document!$B$4</xm:f>
          </x14:formula1>
          <x14:formula2>
            <xm:f>Document!$B$5</xm:f>
          </x14:formula2>
          <xm:sqref>C8:C79</xm:sqref>
        </x14:dataValidation>
        <x14:dataValidation type="date" errorStyle="warning" allowBlank="1" showInputMessage="1" showErrorMessage="1" errorTitle="Date Error" error="Enter the correct date_x000a_" xr:uid="{735DA895-7C29-4920-B0F2-BA2B4C1060EA}">
          <x14:formula1>
            <xm:f>Document!$B$4</xm:f>
          </x14:formula1>
          <x14:formula2>
            <xm:f>Document!$B$5</xm:f>
          </x14:formula2>
          <xm:sqref>C7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topLeftCell="C4" zoomScale="85" zoomScaleNormal="85" workbookViewId="0">
      <selection activeCell="G16" sqref="G16"/>
    </sheetView>
  </sheetViews>
  <sheetFormatPr defaultRowHeight="14.5" x14ac:dyDescent="0.35"/>
  <cols>
    <col min="1" max="1" width="37.26953125" customWidth="1"/>
    <col min="2" max="2" width="15.7265625" customWidth="1"/>
    <col min="3" max="3" width="15.7265625" style="2" customWidth="1"/>
    <col min="4" max="5" width="15.7265625" style="7" customWidth="1"/>
    <col min="6" max="6" width="15.7265625" customWidth="1"/>
    <col min="7" max="7" width="189.54296875" customWidth="1"/>
    <col min="8" max="8" width="15.7265625" customWidth="1"/>
    <col min="9" max="9" width="26" customWidth="1"/>
    <col min="10" max="33" width="15.7265625" customWidth="1"/>
  </cols>
  <sheetData>
    <row r="1" spans="1:9" ht="94.15" customHeight="1" thickBot="1" x14ac:dyDescent="0.4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5" customHeight="1" x14ac:dyDescent="0.35">
      <c r="A2" s="33" t="s">
        <v>6</v>
      </c>
      <c r="B2" s="46"/>
      <c r="C2" s="47"/>
      <c r="D2" s="48"/>
      <c r="E2" s="49" t="s">
        <v>25</v>
      </c>
      <c r="F2" s="50"/>
      <c r="G2" s="50"/>
    </row>
    <row r="3" spans="1:9" ht="25" customHeight="1" x14ac:dyDescent="0.35">
      <c r="A3" s="33" t="s">
        <v>5</v>
      </c>
      <c r="B3" s="55"/>
      <c r="C3" s="56"/>
      <c r="D3" s="57"/>
      <c r="E3" s="51"/>
      <c r="F3" s="52"/>
      <c r="G3" s="52"/>
    </row>
    <row r="4" spans="1:9" ht="25" customHeight="1" thickBot="1" x14ac:dyDescent="0.4">
      <c r="A4" s="33" t="s">
        <v>4</v>
      </c>
      <c r="B4" s="58" t="s">
        <v>9</v>
      </c>
      <c r="C4" s="59"/>
      <c r="D4" s="60"/>
      <c r="E4" s="51"/>
      <c r="F4" s="52"/>
      <c r="G4" s="52"/>
    </row>
    <row r="5" spans="1:9" ht="59.5" customHeight="1" thickBot="1" x14ac:dyDescent="0.4">
      <c r="A5" s="34" t="s">
        <v>11</v>
      </c>
      <c r="B5" s="58" t="s">
        <v>12</v>
      </c>
      <c r="C5" s="59"/>
      <c r="D5" s="60"/>
      <c r="E5" s="53"/>
      <c r="F5" s="54"/>
      <c r="G5" s="54"/>
    </row>
    <row r="6" spans="1:9" s="1" customFormat="1" ht="25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5" customHeight="1" x14ac:dyDescent="0.35">
      <c r="A7" s="30"/>
      <c r="B7" s="12"/>
      <c r="C7" s="18"/>
      <c r="D7" s="19"/>
      <c r="E7" s="20"/>
      <c r="F7" s="40" t="str">
        <f>IF(AND(NOT(ISBLANK($D7)),NOT(ISBLANK($E7)),OR($H7&lt;0,$H7&gt;2)),"ERROR","")</f>
        <v/>
      </c>
      <c r="G7" s="15"/>
      <c r="H7" s="11">
        <f>IF(E7&gt;=D7, E7-D7, 1-D7+E7)*24</f>
        <v>0</v>
      </c>
      <c r="I7" s="9"/>
    </row>
    <row r="8" spans="1:9" ht="25" customHeight="1" x14ac:dyDescent="0.45">
      <c r="A8" s="31"/>
      <c r="B8" s="13"/>
      <c r="C8" s="21"/>
      <c r="D8" s="19"/>
      <c r="E8" s="35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5" customHeight="1" x14ac:dyDescent="0.4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5" customHeight="1" x14ac:dyDescent="0.4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5" customHeight="1" x14ac:dyDescent="0.4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5" customHeight="1" x14ac:dyDescent="0.4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5" customHeight="1" x14ac:dyDescent="0.4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5" customHeight="1" x14ac:dyDescent="0.4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5" customHeight="1" x14ac:dyDescent="0.4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5" customHeight="1" x14ac:dyDescent="0.4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5" customHeight="1" x14ac:dyDescent="0.4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5" customHeight="1" x14ac:dyDescent="0.4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5" customHeight="1" x14ac:dyDescent="0.4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5" customHeight="1" x14ac:dyDescent="0.4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5" customHeight="1" x14ac:dyDescent="0.4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5" customHeight="1" x14ac:dyDescent="0.4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5" customHeight="1" x14ac:dyDescent="0.4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5" customHeight="1" x14ac:dyDescent="0.4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5" customHeight="1" x14ac:dyDescent="0.4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5" customHeight="1" x14ac:dyDescent="0.4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5" customHeight="1" x14ac:dyDescent="0.4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5" customHeight="1" x14ac:dyDescent="0.4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5" customHeight="1" x14ac:dyDescent="0.4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5" customHeight="1" x14ac:dyDescent="0.4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5" customHeight="1" x14ac:dyDescent="0.4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5" customHeight="1" x14ac:dyDescent="0.4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5" customHeight="1" x14ac:dyDescent="0.4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5" customHeight="1" x14ac:dyDescent="0.4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5" customHeight="1" x14ac:dyDescent="0.4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5" customHeight="1" x14ac:dyDescent="0.4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5" customHeight="1" x14ac:dyDescent="0.4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5" customHeight="1" x14ac:dyDescent="0.4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5" customHeight="1" x14ac:dyDescent="0.4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5" customHeight="1" x14ac:dyDescent="0.4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5" customHeight="1" x14ac:dyDescent="0.4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5" customHeight="1" x14ac:dyDescent="0.4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5" customHeight="1" x14ac:dyDescent="0.4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5" customHeight="1" x14ac:dyDescent="0.4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5" customHeight="1" x14ac:dyDescent="0.4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5" customHeight="1" x14ac:dyDescent="0.4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5" customHeight="1" x14ac:dyDescent="0.4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5" customHeight="1" x14ac:dyDescent="0.4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5" customHeight="1" x14ac:dyDescent="0.4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5" customHeight="1" x14ac:dyDescent="0.4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5" customHeight="1" x14ac:dyDescent="0.4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5" customHeight="1" x14ac:dyDescent="0.4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5" customHeight="1" x14ac:dyDescent="0.4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5" customHeight="1" x14ac:dyDescent="0.4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5" customHeight="1" x14ac:dyDescent="0.4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5" customHeight="1" x14ac:dyDescent="0.4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5" customHeight="1" x14ac:dyDescent="0.4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5" customHeight="1" x14ac:dyDescent="0.4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5" customHeight="1" x14ac:dyDescent="0.4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5" customHeight="1" x14ac:dyDescent="0.4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5" customHeight="1" x14ac:dyDescent="0.4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5" customHeight="1" x14ac:dyDescent="0.4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5" customHeight="1" x14ac:dyDescent="0.4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5" customHeight="1" x14ac:dyDescent="0.4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5" customHeight="1" x14ac:dyDescent="0.4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5" customHeight="1" x14ac:dyDescent="0.4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5" customHeight="1" x14ac:dyDescent="0.4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5" customHeight="1" x14ac:dyDescent="0.4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5" customHeight="1" x14ac:dyDescent="0.4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5" customHeight="1" x14ac:dyDescent="0.4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5" customHeight="1" x14ac:dyDescent="0.4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5" customHeight="1" x14ac:dyDescent="0.4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5" customHeight="1" x14ac:dyDescent="0.4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5" customHeight="1" x14ac:dyDescent="0.4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5" customHeight="1" x14ac:dyDescent="0.4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5" customHeight="1" x14ac:dyDescent="0.4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5" customHeight="1" x14ac:dyDescent="0.4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5" customHeight="1" x14ac:dyDescent="0.4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5" customHeight="1" thickBot="1" x14ac:dyDescent="0.5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5" customHeight="1" x14ac:dyDescent="0.45">
      <c r="F80" s="29"/>
      <c r="H80" s="28">
        <f>SUM(H7:H79)</f>
        <v>0</v>
      </c>
    </row>
    <row r="81" ht="25" customHeight="1" x14ac:dyDescent="0.35"/>
    <row r="82" ht="25" customHeight="1" x14ac:dyDescent="0.35"/>
    <row r="83" ht="25" customHeight="1" x14ac:dyDescent="0.35"/>
    <row r="84" ht="25" customHeight="1" x14ac:dyDescent="0.35"/>
    <row r="85" ht="25" customHeight="1" x14ac:dyDescent="0.35"/>
    <row r="86" ht="25" customHeight="1" x14ac:dyDescent="0.35"/>
    <row r="87" ht="25" customHeight="1" x14ac:dyDescent="0.35"/>
    <row r="88" ht="25" customHeight="1" x14ac:dyDescent="0.35"/>
    <row r="89" ht="25" customHeight="1" x14ac:dyDescent="0.35"/>
    <row r="90" ht="25" customHeight="1" x14ac:dyDescent="0.35"/>
    <row r="91" ht="25" customHeight="1" x14ac:dyDescent="0.35"/>
    <row r="92" ht="25" customHeight="1" x14ac:dyDescent="0.35"/>
    <row r="93" ht="25" customHeight="1" x14ac:dyDescent="0.35"/>
    <row r="94" ht="25" customHeight="1" x14ac:dyDescent="0.35"/>
    <row r="95" ht="25" customHeight="1" x14ac:dyDescent="0.35"/>
    <row r="96" ht="25" customHeight="1" x14ac:dyDescent="0.35"/>
    <row r="97" ht="25" customHeight="1" x14ac:dyDescent="0.35"/>
    <row r="98" ht="25" customHeight="1" x14ac:dyDescent="0.35"/>
    <row r="99" ht="25" customHeight="1" x14ac:dyDescent="0.35"/>
    <row r="100" ht="25" customHeight="1" x14ac:dyDescent="0.35"/>
    <row r="101" ht="25" customHeight="1" x14ac:dyDescent="0.35"/>
    <row r="102" ht="25" customHeight="1" x14ac:dyDescent="0.35"/>
    <row r="103" ht="25" customHeight="1" x14ac:dyDescent="0.35"/>
    <row r="104" ht="25" customHeight="1" x14ac:dyDescent="0.35"/>
    <row r="105" ht="25" customHeight="1" x14ac:dyDescent="0.35"/>
    <row r="106" ht="25" customHeight="1" x14ac:dyDescent="0.35"/>
    <row r="107" ht="25" customHeight="1" x14ac:dyDescent="0.35"/>
    <row r="108" ht="25" customHeight="1" x14ac:dyDescent="0.35"/>
    <row r="109" ht="25" customHeight="1" x14ac:dyDescent="0.35"/>
    <row r="110" ht="25" customHeight="1" x14ac:dyDescent="0.35"/>
    <row r="111" ht="25" customHeight="1" x14ac:dyDescent="0.35"/>
    <row r="112" ht="25" customHeight="1" x14ac:dyDescent="0.35"/>
    <row r="113" ht="25" customHeight="1" x14ac:dyDescent="0.35"/>
    <row r="114" ht="25" customHeight="1" x14ac:dyDescent="0.35"/>
    <row r="115" ht="25" customHeight="1" x14ac:dyDescent="0.35"/>
    <row r="116" ht="25" customHeight="1" x14ac:dyDescent="0.35"/>
    <row r="117" ht="25" customHeight="1" x14ac:dyDescent="0.35"/>
    <row r="118" ht="25" customHeight="1" x14ac:dyDescent="0.35"/>
    <row r="119" ht="25" customHeight="1" x14ac:dyDescent="0.35"/>
    <row r="120" ht="25" customHeight="1" x14ac:dyDescent="0.35"/>
    <row r="121" ht="25" customHeight="1" x14ac:dyDescent="0.35"/>
    <row r="122" ht="25" customHeight="1" x14ac:dyDescent="0.35"/>
    <row r="123" ht="25" customHeight="1" x14ac:dyDescent="0.35"/>
    <row r="124" ht="25" customHeight="1" x14ac:dyDescent="0.35"/>
    <row r="125" ht="25" customHeight="1" x14ac:dyDescent="0.35"/>
    <row r="126" ht="25" customHeight="1" x14ac:dyDescent="0.35"/>
    <row r="127" ht="25" customHeight="1" x14ac:dyDescent="0.35"/>
    <row r="128" ht="25" customHeight="1" x14ac:dyDescent="0.35"/>
    <row r="129" ht="25" customHeight="1" x14ac:dyDescent="0.35"/>
    <row r="130" ht="25" customHeight="1" x14ac:dyDescent="0.35"/>
    <row r="131" ht="25" customHeight="1" x14ac:dyDescent="0.35"/>
    <row r="132" ht="25" customHeight="1" x14ac:dyDescent="0.35"/>
    <row r="133" ht="25" customHeight="1" x14ac:dyDescent="0.35"/>
    <row r="134" ht="25" customHeight="1" x14ac:dyDescent="0.35"/>
    <row r="135" ht="25" customHeight="1" x14ac:dyDescent="0.35"/>
    <row r="136" ht="25" customHeight="1" x14ac:dyDescent="0.35"/>
    <row r="137" ht="25" customHeight="1" x14ac:dyDescent="0.35"/>
    <row r="138" ht="25" customHeight="1" x14ac:dyDescent="0.35"/>
    <row r="139" ht="25" customHeight="1" x14ac:dyDescent="0.35"/>
    <row r="140" ht="25" customHeight="1" x14ac:dyDescent="0.35"/>
    <row r="141" ht="25" customHeight="1" x14ac:dyDescent="0.35"/>
    <row r="142" ht="25" customHeight="1" x14ac:dyDescent="0.35"/>
    <row r="143" ht="25" customHeight="1" x14ac:dyDescent="0.35"/>
    <row r="144" ht="25" customHeight="1" x14ac:dyDescent="0.35"/>
    <row r="145" ht="25" customHeight="1" x14ac:dyDescent="0.35"/>
    <row r="146" ht="25" customHeight="1" x14ac:dyDescent="0.35"/>
    <row r="147" ht="25" customHeight="1" x14ac:dyDescent="0.35"/>
    <row r="148" ht="25" customHeight="1" x14ac:dyDescent="0.35"/>
    <row r="149" ht="25" customHeight="1" x14ac:dyDescent="0.35"/>
    <row r="150" ht="25" customHeight="1" x14ac:dyDescent="0.35"/>
    <row r="151" ht="25" customHeight="1" x14ac:dyDescent="0.35"/>
    <row r="152" ht="25" customHeight="1" x14ac:dyDescent="0.35"/>
    <row r="153" ht="25" customHeight="1" x14ac:dyDescent="0.35"/>
    <row r="154" ht="25" customHeight="1" x14ac:dyDescent="0.35"/>
    <row r="155" ht="25" customHeight="1" x14ac:dyDescent="0.35"/>
    <row r="156" ht="25" customHeight="1" x14ac:dyDescent="0.35"/>
    <row r="157" ht="25" customHeight="1" x14ac:dyDescent="0.35"/>
    <row r="158" ht="25" customHeight="1" x14ac:dyDescent="0.35"/>
    <row r="159" ht="25" customHeight="1" x14ac:dyDescent="0.35"/>
    <row r="160" ht="25" customHeight="1" x14ac:dyDescent="0.35"/>
    <row r="161" ht="25" customHeight="1" x14ac:dyDescent="0.35"/>
    <row r="162" ht="25" customHeight="1" x14ac:dyDescent="0.35"/>
    <row r="163" ht="25" customHeight="1" x14ac:dyDescent="0.35"/>
    <row r="164" ht="25" customHeight="1" x14ac:dyDescent="0.35"/>
    <row r="165" ht="25" customHeight="1" x14ac:dyDescent="0.35"/>
    <row r="166" ht="25" customHeight="1" x14ac:dyDescent="0.35"/>
    <row r="167" ht="25" customHeight="1" x14ac:dyDescent="0.35"/>
    <row r="168" ht="25" customHeight="1" x14ac:dyDescent="0.35"/>
    <row r="169" ht="25" customHeight="1" x14ac:dyDescent="0.35"/>
    <row r="170" ht="25" customHeight="1" x14ac:dyDescent="0.35"/>
    <row r="171" ht="25" customHeight="1" x14ac:dyDescent="0.35"/>
    <row r="172" ht="25" customHeight="1" x14ac:dyDescent="0.35"/>
    <row r="173" ht="25" customHeight="1" x14ac:dyDescent="0.35"/>
    <row r="174" ht="25" customHeight="1" x14ac:dyDescent="0.35"/>
    <row r="175" ht="25" customHeight="1" x14ac:dyDescent="0.35"/>
    <row r="176" ht="25" customHeight="1" x14ac:dyDescent="0.35"/>
    <row r="177" ht="25" customHeight="1" x14ac:dyDescent="0.35"/>
    <row r="178" ht="25" customHeight="1" x14ac:dyDescent="0.35"/>
    <row r="179" ht="25" customHeight="1" x14ac:dyDescent="0.35"/>
    <row r="180" ht="25" customHeight="1" x14ac:dyDescent="0.35"/>
    <row r="181" ht="25" customHeight="1" x14ac:dyDescent="0.35"/>
    <row r="182" ht="25" customHeight="1" x14ac:dyDescent="0.35"/>
    <row r="183" ht="25" customHeight="1" x14ac:dyDescent="0.35"/>
    <row r="184" ht="25" customHeight="1" x14ac:dyDescent="0.35"/>
    <row r="185" ht="25" customHeight="1" x14ac:dyDescent="0.35"/>
    <row r="186" ht="25" customHeight="1" x14ac:dyDescent="0.35"/>
    <row r="187" ht="25" customHeight="1" x14ac:dyDescent="0.35"/>
    <row r="188" ht="25" customHeight="1" x14ac:dyDescent="0.35"/>
    <row r="189" ht="25" customHeight="1" x14ac:dyDescent="0.35"/>
    <row r="190" ht="25" customHeight="1" x14ac:dyDescent="0.35"/>
    <row r="191" ht="25" customHeight="1" x14ac:dyDescent="0.35"/>
    <row r="192" ht="25" customHeight="1" x14ac:dyDescent="0.35"/>
    <row r="193" ht="25" customHeight="1" x14ac:dyDescent="0.35"/>
    <row r="194" ht="25" customHeight="1" x14ac:dyDescent="0.35"/>
    <row r="195" ht="25" customHeight="1" x14ac:dyDescent="0.35"/>
    <row r="196" ht="25" customHeight="1" x14ac:dyDescent="0.35"/>
    <row r="197" ht="25" customHeight="1" x14ac:dyDescent="0.35"/>
    <row r="198" ht="25" customHeight="1" x14ac:dyDescent="0.35"/>
    <row r="199" ht="25" customHeight="1" x14ac:dyDescent="0.35"/>
    <row r="200" ht="25" customHeight="1" x14ac:dyDescent="0.35"/>
    <row r="201" ht="25" customHeight="1" x14ac:dyDescent="0.35"/>
    <row r="202" ht="25" customHeight="1" x14ac:dyDescent="0.35"/>
    <row r="203" ht="25" customHeight="1" x14ac:dyDescent="0.35"/>
    <row r="204" ht="25" customHeight="1" x14ac:dyDescent="0.35"/>
    <row r="205" ht="25" customHeight="1" x14ac:dyDescent="0.35"/>
    <row r="206" ht="25" customHeight="1" x14ac:dyDescent="0.35"/>
    <row r="207" ht="25" customHeight="1" x14ac:dyDescent="0.35"/>
    <row r="208" ht="25" customHeight="1" x14ac:dyDescent="0.35"/>
    <row r="209" ht="25" customHeight="1" x14ac:dyDescent="0.35"/>
    <row r="210" ht="25" customHeight="1" x14ac:dyDescent="0.35"/>
    <row r="211" ht="25" customHeight="1" x14ac:dyDescent="0.35"/>
    <row r="212" ht="25" customHeight="1" x14ac:dyDescent="0.35"/>
    <row r="213" ht="25" customHeight="1" x14ac:dyDescent="0.35"/>
    <row r="214" ht="25" customHeight="1" x14ac:dyDescent="0.35"/>
    <row r="215" ht="25" customHeight="1" x14ac:dyDescent="0.35"/>
    <row r="216" ht="25" customHeight="1" x14ac:dyDescent="0.35"/>
    <row r="217" ht="25" customHeight="1" x14ac:dyDescent="0.35"/>
    <row r="218" ht="25" customHeight="1" x14ac:dyDescent="0.35"/>
    <row r="219" ht="25" customHeight="1" x14ac:dyDescent="0.35"/>
    <row r="220" ht="25" customHeight="1" x14ac:dyDescent="0.35"/>
    <row r="221" ht="25" customHeight="1" x14ac:dyDescent="0.35"/>
    <row r="222" ht="25" customHeight="1" x14ac:dyDescent="0.35"/>
    <row r="223" ht="25" customHeight="1" x14ac:dyDescent="0.35"/>
    <row r="224" ht="25" customHeight="1" x14ac:dyDescent="0.35"/>
    <row r="225" ht="25" customHeight="1" x14ac:dyDescent="0.35"/>
    <row r="226" ht="25" customHeight="1" x14ac:dyDescent="0.35"/>
    <row r="227" ht="25" customHeight="1" x14ac:dyDescent="0.35"/>
    <row r="228" ht="25" customHeight="1" x14ac:dyDescent="0.35"/>
    <row r="229" ht="25" customHeight="1" x14ac:dyDescent="0.35"/>
    <row r="230" ht="25" customHeight="1" x14ac:dyDescent="0.35"/>
    <row r="231" ht="25" customHeight="1" x14ac:dyDescent="0.35"/>
    <row r="232" ht="25" customHeight="1" x14ac:dyDescent="0.35"/>
    <row r="233" ht="25" customHeight="1" x14ac:dyDescent="0.35"/>
    <row r="234" ht="25" customHeight="1" x14ac:dyDescent="0.35"/>
    <row r="235" ht="25" customHeight="1" x14ac:dyDescent="0.35"/>
    <row r="236" ht="25" customHeight="1" x14ac:dyDescent="0.35"/>
    <row r="237" ht="25" customHeight="1" x14ac:dyDescent="0.35"/>
    <row r="238" ht="25" customHeight="1" x14ac:dyDescent="0.35"/>
    <row r="239" ht="25" customHeight="1" x14ac:dyDescent="0.35"/>
    <row r="240" ht="25" customHeight="1" x14ac:dyDescent="0.35"/>
    <row r="241" ht="25" customHeight="1" x14ac:dyDescent="0.35"/>
    <row r="242" ht="25" customHeight="1" x14ac:dyDescent="0.35"/>
    <row r="243" ht="25" customHeight="1" x14ac:dyDescent="0.35"/>
    <row r="244" ht="25" customHeight="1" x14ac:dyDescent="0.35"/>
    <row r="245" ht="25" customHeight="1" x14ac:dyDescent="0.35"/>
    <row r="246" ht="25" customHeight="1" x14ac:dyDescent="0.35"/>
    <row r="247" ht="25" customHeight="1" x14ac:dyDescent="0.35"/>
    <row r="248" ht="25" customHeight="1" x14ac:dyDescent="0.35"/>
    <row r="249" ht="25" customHeight="1" x14ac:dyDescent="0.35"/>
    <row r="250" ht="25" customHeight="1" x14ac:dyDescent="0.35"/>
    <row r="251" ht="25" customHeight="1" x14ac:dyDescent="0.35"/>
    <row r="252" ht="25" customHeight="1" x14ac:dyDescent="0.35"/>
    <row r="253" ht="25" customHeight="1" x14ac:dyDescent="0.35"/>
    <row r="254" ht="25" customHeight="1" x14ac:dyDescent="0.35"/>
    <row r="255" ht="25" customHeight="1" x14ac:dyDescent="0.35"/>
    <row r="256" ht="25" customHeight="1" x14ac:dyDescent="0.35"/>
    <row r="257" ht="25" customHeight="1" x14ac:dyDescent="0.35"/>
    <row r="258" ht="25" customHeight="1" x14ac:dyDescent="0.35"/>
    <row r="259" ht="25" customHeight="1" x14ac:dyDescent="0.35"/>
    <row r="260" ht="25" customHeight="1" x14ac:dyDescent="0.35"/>
    <row r="261" ht="25" customHeight="1" x14ac:dyDescent="0.35"/>
    <row r="262" ht="25" customHeight="1" x14ac:dyDescent="0.35"/>
    <row r="263" ht="25" customHeight="1" x14ac:dyDescent="0.35"/>
    <row r="264" ht="25" customHeight="1" x14ac:dyDescent="0.35"/>
    <row r="265" ht="25" customHeight="1" x14ac:dyDescent="0.35"/>
    <row r="266" ht="25" customHeight="1" x14ac:dyDescent="0.35"/>
    <row r="267" ht="25" customHeight="1" x14ac:dyDescent="0.35"/>
    <row r="268" ht="25" customHeight="1" x14ac:dyDescent="0.35"/>
    <row r="269" ht="25" customHeight="1" x14ac:dyDescent="0.35"/>
    <row r="270" ht="25" customHeight="1" x14ac:dyDescent="0.35"/>
    <row r="271" ht="25" customHeight="1" x14ac:dyDescent="0.35"/>
    <row r="272" ht="25" customHeight="1" x14ac:dyDescent="0.35"/>
    <row r="273" ht="25" customHeight="1" x14ac:dyDescent="0.35"/>
    <row r="274" ht="25" customHeight="1" x14ac:dyDescent="0.35"/>
    <row r="275" ht="25" customHeight="1" x14ac:dyDescent="0.35"/>
    <row r="276" ht="25" customHeight="1" x14ac:dyDescent="0.35"/>
    <row r="277" ht="25" customHeight="1" x14ac:dyDescent="0.35"/>
    <row r="278" ht="25" customHeight="1" x14ac:dyDescent="0.35"/>
    <row r="279" ht="25" customHeight="1" x14ac:dyDescent="0.35"/>
    <row r="280" ht="25" customHeight="1" x14ac:dyDescent="0.35"/>
    <row r="281" ht="25" customHeight="1" x14ac:dyDescent="0.35"/>
    <row r="282" ht="25" customHeight="1" x14ac:dyDescent="0.35"/>
    <row r="283" ht="25" customHeight="1" x14ac:dyDescent="0.35"/>
    <row r="284" ht="25" customHeight="1" x14ac:dyDescent="0.35"/>
    <row r="285" ht="25" customHeight="1" x14ac:dyDescent="0.35"/>
    <row r="286" ht="25" customHeight="1" x14ac:dyDescent="0.35"/>
    <row r="287" ht="25" customHeight="1" x14ac:dyDescent="0.35"/>
    <row r="288" ht="25" customHeight="1" x14ac:dyDescent="0.35"/>
    <row r="289" ht="25" customHeight="1" x14ac:dyDescent="0.35"/>
    <row r="290" ht="25" customHeight="1" x14ac:dyDescent="0.35"/>
    <row r="291" ht="25" customHeight="1" x14ac:dyDescent="0.35"/>
    <row r="292" ht="25" customHeight="1" x14ac:dyDescent="0.35"/>
    <row r="293" ht="25" customHeight="1" x14ac:dyDescent="0.35"/>
    <row r="294" ht="25" customHeight="1" x14ac:dyDescent="0.35"/>
    <row r="295" ht="25" customHeight="1" x14ac:dyDescent="0.35"/>
    <row r="296" ht="25" customHeight="1" x14ac:dyDescent="0.35"/>
    <row r="297" ht="25" customHeight="1" x14ac:dyDescent="0.35"/>
    <row r="298" ht="25" customHeight="1" x14ac:dyDescent="0.35"/>
    <row r="299" ht="25" customHeight="1" x14ac:dyDescent="0.35"/>
    <row r="300" ht="25" customHeight="1" x14ac:dyDescent="0.35"/>
    <row r="301" ht="25" customHeight="1" x14ac:dyDescent="0.35"/>
    <row r="302" ht="25" customHeight="1" x14ac:dyDescent="0.35"/>
    <row r="303" ht="25" customHeight="1" x14ac:dyDescent="0.35"/>
    <row r="304" ht="25" customHeight="1" x14ac:dyDescent="0.35"/>
    <row r="305" ht="25" customHeight="1" x14ac:dyDescent="0.35"/>
    <row r="306" ht="25" customHeight="1" x14ac:dyDescent="0.35"/>
    <row r="307" ht="25" customHeight="1" x14ac:dyDescent="0.35"/>
    <row r="308" ht="25" customHeight="1" x14ac:dyDescent="0.35"/>
    <row r="309" ht="25" customHeight="1" x14ac:dyDescent="0.35"/>
    <row r="310" ht="25" customHeight="1" x14ac:dyDescent="0.35"/>
    <row r="311" ht="25" customHeight="1" x14ac:dyDescent="0.35"/>
    <row r="312" ht="25" customHeight="1" x14ac:dyDescent="0.35"/>
    <row r="313" ht="25" customHeight="1" x14ac:dyDescent="0.35"/>
    <row r="314" ht="25" customHeight="1" x14ac:dyDescent="0.35"/>
    <row r="315" ht="25" customHeight="1" x14ac:dyDescent="0.35"/>
    <row r="316" ht="25" customHeight="1" x14ac:dyDescent="0.35"/>
    <row r="317" ht="25" customHeight="1" x14ac:dyDescent="0.35"/>
    <row r="318" ht="25" customHeight="1" x14ac:dyDescent="0.35"/>
    <row r="319" ht="25" customHeight="1" x14ac:dyDescent="0.35"/>
    <row r="320" ht="25" customHeight="1" x14ac:dyDescent="0.35"/>
    <row r="321" ht="25" customHeight="1" x14ac:dyDescent="0.35"/>
    <row r="322" ht="25" customHeight="1" x14ac:dyDescent="0.35"/>
    <row r="323" ht="25" customHeight="1" x14ac:dyDescent="0.35"/>
    <row r="324" ht="25" customHeight="1" x14ac:dyDescent="0.35"/>
    <row r="325" ht="25" customHeight="1" x14ac:dyDescent="0.35"/>
    <row r="326" ht="25" customHeight="1" x14ac:dyDescent="0.35"/>
    <row r="327" ht="25" customHeight="1" x14ac:dyDescent="0.35"/>
    <row r="328" ht="25" customHeight="1" x14ac:dyDescent="0.35"/>
    <row r="329" ht="25" customHeight="1" x14ac:dyDescent="0.35"/>
    <row r="330" ht="25" customHeight="1" x14ac:dyDescent="0.35"/>
    <row r="331" ht="25" customHeight="1" x14ac:dyDescent="0.35"/>
    <row r="332" ht="25" customHeight="1" x14ac:dyDescent="0.35"/>
    <row r="333" ht="25" customHeight="1" x14ac:dyDescent="0.35"/>
    <row r="334" ht="25" customHeight="1" x14ac:dyDescent="0.35"/>
    <row r="335" ht="25" customHeight="1" x14ac:dyDescent="0.35"/>
    <row r="336" ht="25" customHeight="1" x14ac:dyDescent="0.35"/>
    <row r="337" ht="25" customHeight="1" x14ac:dyDescent="0.35"/>
    <row r="338" ht="25" customHeight="1" x14ac:dyDescent="0.35"/>
    <row r="339" ht="25" customHeight="1" x14ac:dyDescent="0.35"/>
    <row r="340" ht="25" customHeight="1" x14ac:dyDescent="0.35"/>
    <row r="341" ht="25" customHeight="1" x14ac:dyDescent="0.35"/>
    <row r="342" ht="25" customHeight="1" x14ac:dyDescent="0.35"/>
    <row r="343" ht="25" customHeight="1" x14ac:dyDescent="0.35"/>
    <row r="344" ht="25" customHeight="1" x14ac:dyDescent="0.35"/>
    <row r="345" ht="25" customHeight="1" x14ac:dyDescent="0.35"/>
    <row r="346" ht="25" customHeight="1" x14ac:dyDescent="0.35"/>
    <row r="347" ht="25" customHeight="1" x14ac:dyDescent="0.35"/>
    <row r="348" ht="25" customHeight="1" x14ac:dyDescent="0.35"/>
    <row r="349" ht="25" customHeight="1" x14ac:dyDescent="0.35"/>
    <row r="350" ht="25" customHeight="1" x14ac:dyDescent="0.35"/>
    <row r="351" ht="25" customHeight="1" x14ac:dyDescent="0.35"/>
    <row r="352" ht="25" customHeight="1" x14ac:dyDescent="0.35"/>
    <row r="353" ht="25" customHeight="1" x14ac:dyDescent="0.35"/>
    <row r="354" ht="25" customHeight="1" x14ac:dyDescent="0.35"/>
    <row r="355" ht="25" customHeight="1" x14ac:dyDescent="0.35"/>
    <row r="356" ht="25" customHeight="1" x14ac:dyDescent="0.35"/>
    <row r="357" ht="25" customHeight="1" x14ac:dyDescent="0.35"/>
    <row r="358" ht="25" customHeight="1" x14ac:dyDescent="0.35"/>
    <row r="359" ht="25" customHeight="1" x14ac:dyDescent="0.35"/>
    <row r="360" ht="25" customHeight="1" x14ac:dyDescent="0.35"/>
    <row r="361" ht="25" customHeight="1" x14ac:dyDescent="0.35"/>
    <row r="362" ht="25" customHeight="1" x14ac:dyDescent="0.35"/>
    <row r="363" ht="25" customHeight="1" x14ac:dyDescent="0.35"/>
    <row r="364" ht="25" customHeight="1" x14ac:dyDescent="0.35"/>
    <row r="365" ht="25" customHeight="1" x14ac:dyDescent="0.35"/>
    <row r="366" ht="25" customHeight="1" x14ac:dyDescent="0.35"/>
    <row r="367" ht="25" customHeight="1" x14ac:dyDescent="0.35"/>
    <row r="368" ht="25" customHeight="1" x14ac:dyDescent="0.35"/>
    <row r="369" ht="25" customHeight="1" x14ac:dyDescent="0.35"/>
    <row r="370" ht="25" customHeight="1" x14ac:dyDescent="0.35"/>
    <row r="371" ht="25" customHeight="1" x14ac:dyDescent="0.35"/>
    <row r="372" ht="25" customHeight="1" x14ac:dyDescent="0.35"/>
    <row r="373" ht="25" customHeight="1" x14ac:dyDescent="0.35"/>
    <row r="374" ht="25" customHeight="1" x14ac:dyDescent="0.35"/>
    <row r="375" ht="25" customHeight="1" x14ac:dyDescent="0.35"/>
    <row r="376" ht="25" customHeight="1" x14ac:dyDescent="0.35"/>
    <row r="377" ht="25" customHeight="1" x14ac:dyDescent="0.35"/>
    <row r="378" ht="25" customHeight="1" x14ac:dyDescent="0.35"/>
    <row r="379" ht="25" customHeight="1" x14ac:dyDescent="0.35"/>
    <row r="380" ht="25" customHeight="1" x14ac:dyDescent="0.35"/>
    <row r="381" ht="25" customHeight="1" x14ac:dyDescent="0.35"/>
    <row r="382" ht="25" customHeight="1" x14ac:dyDescent="0.35"/>
    <row r="383" ht="25" customHeight="1" x14ac:dyDescent="0.35"/>
    <row r="384" ht="25" customHeight="1" x14ac:dyDescent="0.35"/>
    <row r="385" ht="25" customHeight="1" x14ac:dyDescent="0.35"/>
    <row r="386" ht="25" customHeight="1" x14ac:dyDescent="0.35"/>
    <row r="387" ht="25" customHeight="1" x14ac:dyDescent="0.35"/>
    <row r="388" ht="25" customHeight="1" x14ac:dyDescent="0.35"/>
    <row r="389" ht="25" customHeight="1" x14ac:dyDescent="0.35"/>
    <row r="390" ht="25" customHeight="1" x14ac:dyDescent="0.35"/>
    <row r="391" ht="25" customHeight="1" x14ac:dyDescent="0.35"/>
    <row r="392" ht="25" customHeight="1" x14ac:dyDescent="0.35"/>
    <row r="393" ht="25" customHeight="1" x14ac:dyDescent="0.35"/>
    <row r="394" ht="25" customHeight="1" x14ac:dyDescent="0.35"/>
    <row r="395" ht="25" customHeight="1" x14ac:dyDescent="0.35"/>
    <row r="396" ht="25" customHeight="1" x14ac:dyDescent="0.35"/>
    <row r="397" ht="25" customHeight="1" x14ac:dyDescent="0.35"/>
    <row r="398" ht="25" customHeight="1" x14ac:dyDescent="0.35"/>
    <row r="399" ht="25" customHeight="1" x14ac:dyDescent="0.35"/>
    <row r="400" ht="25" customHeight="1" x14ac:dyDescent="0.35"/>
    <row r="401" ht="25" customHeight="1" x14ac:dyDescent="0.35"/>
    <row r="402" ht="25" customHeight="1" x14ac:dyDescent="0.35"/>
    <row r="403" ht="25" customHeight="1" x14ac:dyDescent="0.35"/>
    <row r="404" ht="25" customHeight="1" x14ac:dyDescent="0.35"/>
    <row r="405" ht="25" customHeight="1" x14ac:dyDescent="0.35"/>
    <row r="406" ht="25" customHeight="1" x14ac:dyDescent="0.35"/>
    <row r="407" ht="25" customHeight="1" x14ac:dyDescent="0.35"/>
    <row r="408" ht="25" customHeight="1" x14ac:dyDescent="0.35"/>
    <row r="409" ht="25" customHeight="1" x14ac:dyDescent="0.35"/>
    <row r="410" ht="25" customHeight="1" x14ac:dyDescent="0.35"/>
    <row r="411" ht="25" customHeight="1" x14ac:dyDescent="0.35"/>
    <row r="412" ht="25" customHeight="1" x14ac:dyDescent="0.35"/>
    <row r="413" ht="25" customHeight="1" x14ac:dyDescent="0.35"/>
    <row r="414" ht="25" customHeight="1" x14ac:dyDescent="0.35"/>
    <row r="415" ht="25" customHeight="1" x14ac:dyDescent="0.35"/>
    <row r="416" ht="25" customHeight="1" x14ac:dyDescent="0.35"/>
    <row r="417" ht="25" customHeight="1" x14ac:dyDescent="0.35"/>
    <row r="418" ht="25" customHeight="1" x14ac:dyDescent="0.35"/>
    <row r="419" ht="25" customHeight="1" x14ac:dyDescent="0.35"/>
    <row r="420" ht="25" customHeight="1" x14ac:dyDescent="0.35"/>
    <row r="421" ht="25" customHeight="1" x14ac:dyDescent="0.35"/>
    <row r="422" ht="25" customHeight="1" x14ac:dyDescent="0.35"/>
    <row r="423" ht="25" customHeight="1" x14ac:dyDescent="0.35"/>
    <row r="424" ht="25" customHeight="1" x14ac:dyDescent="0.35"/>
    <row r="425" ht="25" customHeight="1" x14ac:dyDescent="0.35"/>
    <row r="426" ht="25" customHeight="1" x14ac:dyDescent="0.35"/>
    <row r="427" ht="25" customHeight="1" x14ac:dyDescent="0.35"/>
    <row r="428" ht="25" customHeight="1" x14ac:dyDescent="0.35"/>
    <row r="429" ht="25" customHeight="1" x14ac:dyDescent="0.35"/>
    <row r="430" ht="25" customHeight="1" x14ac:dyDescent="0.35"/>
    <row r="431" ht="25" customHeight="1" x14ac:dyDescent="0.35"/>
    <row r="432" ht="25" customHeight="1" x14ac:dyDescent="0.35"/>
    <row r="433" ht="25" customHeight="1" x14ac:dyDescent="0.35"/>
    <row r="434" ht="25" customHeight="1" x14ac:dyDescent="0.35"/>
    <row r="435" ht="25" customHeight="1" x14ac:dyDescent="0.35"/>
    <row r="436" ht="25" customHeight="1" x14ac:dyDescent="0.35"/>
    <row r="437" ht="25" customHeight="1" x14ac:dyDescent="0.35"/>
    <row r="438" ht="25" customHeight="1" x14ac:dyDescent="0.35"/>
    <row r="439" ht="25" customHeight="1" x14ac:dyDescent="0.35"/>
    <row r="440" ht="25" customHeight="1" x14ac:dyDescent="0.35"/>
    <row r="441" ht="25" customHeight="1" x14ac:dyDescent="0.35"/>
    <row r="442" ht="25" customHeight="1" x14ac:dyDescent="0.35"/>
    <row r="443" ht="25" customHeight="1" x14ac:dyDescent="0.35"/>
    <row r="444" ht="25" customHeight="1" x14ac:dyDescent="0.35"/>
    <row r="445" ht="25" customHeight="1" x14ac:dyDescent="0.35"/>
    <row r="446" ht="25" customHeight="1" x14ac:dyDescent="0.35"/>
    <row r="447" ht="25" customHeight="1" x14ac:dyDescent="0.35"/>
    <row r="448" ht="25" customHeight="1" x14ac:dyDescent="0.35"/>
    <row r="449" ht="25" customHeight="1" x14ac:dyDescent="0.35"/>
    <row r="450" ht="25" customHeight="1" x14ac:dyDescent="0.35"/>
    <row r="451" ht="25" customHeight="1" x14ac:dyDescent="0.35"/>
    <row r="452" ht="25" customHeight="1" x14ac:dyDescent="0.35"/>
    <row r="453" ht="25" customHeight="1" x14ac:dyDescent="0.35"/>
    <row r="454" ht="25" customHeight="1" x14ac:dyDescent="0.35"/>
    <row r="455" ht="25" customHeight="1" x14ac:dyDescent="0.35"/>
    <row r="456" ht="25" customHeight="1" x14ac:dyDescent="0.35"/>
    <row r="457" ht="25" customHeight="1" x14ac:dyDescent="0.35"/>
    <row r="458" ht="25" customHeight="1" x14ac:dyDescent="0.35"/>
    <row r="459" ht="25" customHeight="1" x14ac:dyDescent="0.35"/>
    <row r="460" ht="25" customHeight="1" x14ac:dyDescent="0.35"/>
    <row r="461" ht="25" customHeight="1" x14ac:dyDescent="0.35"/>
    <row r="462" ht="25" customHeight="1" x14ac:dyDescent="0.35"/>
    <row r="463" ht="25" customHeight="1" x14ac:dyDescent="0.35"/>
    <row r="464" ht="25" customHeight="1" x14ac:dyDescent="0.35"/>
    <row r="465" ht="25" customHeight="1" x14ac:dyDescent="0.35"/>
    <row r="466" ht="25" customHeight="1" x14ac:dyDescent="0.35"/>
    <row r="467" ht="25" customHeight="1" x14ac:dyDescent="0.35"/>
    <row r="468" ht="25" customHeight="1" x14ac:dyDescent="0.35"/>
    <row r="469" ht="25" customHeight="1" x14ac:dyDescent="0.35"/>
    <row r="470" ht="25" customHeight="1" x14ac:dyDescent="0.35"/>
    <row r="471" ht="25" customHeight="1" x14ac:dyDescent="0.35"/>
    <row r="472" ht="25" customHeight="1" x14ac:dyDescent="0.35"/>
    <row r="473" ht="25" customHeight="1" x14ac:dyDescent="0.35"/>
    <row r="474" ht="25" customHeight="1" x14ac:dyDescent="0.35"/>
    <row r="475" ht="25" customHeight="1" x14ac:dyDescent="0.35"/>
    <row r="476" ht="25" customHeight="1" x14ac:dyDescent="0.35"/>
    <row r="477" ht="25" customHeight="1" x14ac:dyDescent="0.35"/>
    <row r="478" ht="25" customHeight="1" x14ac:dyDescent="0.35"/>
    <row r="479" ht="25" customHeight="1" x14ac:dyDescent="0.35"/>
    <row r="480" ht="25" customHeight="1" x14ac:dyDescent="0.35"/>
    <row r="481" ht="25" customHeight="1" x14ac:dyDescent="0.35"/>
    <row r="482" ht="25" customHeight="1" x14ac:dyDescent="0.35"/>
    <row r="483" ht="25" customHeight="1" x14ac:dyDescent="0.35"/>
    <row r="484" ht="25" customHeight="1" x14ac:dyDescent="0.35"/>
    <row r="485" ht="25" customHeight="1" x14ac:dyDescent="0.35"/>
    <row r="486" ht="25" customHeight="1" x14ac:dyDescent="0.35"/>
    <row r="487" ht="25" customHeight="1" x14ac:dyDescent="0.35"/>
    <row r="488" ht="25" customHeight="1" x14ac:dyDescent="0.35"/>
    <row r="489" ht="25" customHeight="1" x14ac:dyDescent="0.35"/>
    <row r="490" ht="25" customHeight="1" x14ac:dyDescent="0.35"/>
    <row r="491" ht="25" customHeight="1" x14ac:dyDescent="0.35"/>
    <row r="492" ht="25" customHeight="1" x14ac:dyDescent="0.35"/>
    <row r="493" ht="25" customHeight="1" x14ac:dyDescent="0.35"/>
    <row r="494" ht="25" customHeight="1" x14ac:dyDescent="0.35"/>
    <row r="495" ht="25" customHeight="1" x14ac:dyDescent="0.35"/>
    <row r="496" ht="25" customHeight="1" x14ac:dyDescent="0.35"/>
    <row r="497" ht="25" customHeight="1" x14ac:dyDescent="0.35"/>
    <row r="498" ht="25" customHeight="1" x14ac:dyDescent="0.35"/>
    <row r="499" ht="25" customHeight="1" x14ac:dyDescent="0.35"/>
    <row r="500" ht="25" customHeight="1" x14ac:dyDescent="0.35"/>
    <row r="501" ht="25" customHeight="1" x14ac:dyDescent="0.35"/>
    <row r="502" ht="25" customHeight="1" x14ac:dyDescent="0.35"/>
    <row r="503" ht="25" customHeight="1" x14ac:dyDescent="0.35"/>
    <row r="504" ht="25" customHeight="1" x14ac:dyDescent="0.35"/>
    <row r="505" ht="25" customHeight="1" x14ac:dyDescent="0.35"/>
    <row r="506" ht="25" customHeight="1" x14ac:dyDescent="0.35"/>
    <row r="507" ht="25" customHeight="1" x14ac:dyDescent="0.35"/>
    <row r="508" ht="25" customHeight="1" x14ac:dyDescent="0.35"/>
    <row r="509" ht="25" customHeight="1" x14ac:dyDescent="0.35"/>
    <row r="510" ht="25" customHeight="1" x14ac:dyDescent="0.35"/>
    <row r="511" ht="25" customHeight="1" x14ac:dyDescent="0.35"/>
    <row r="512" ht="25" customHeight="1" x14ac:dyDescent="0.35"/>
    <row r="513" ht="25" customHeight="1" x14ac:dyDescent="0.35"/>
    <row r="514" ht="25" customHeight="1" x14ac:dyDescent="0.35"/>
    <row r="515" ht="25" customHeight="1" x14ac:dyDescent="0.35"/>
    <row r="516" ht="25" customHeight="1" x14ac:dyDescent="0.35"/>
    <row r="517" ht="25" customHeight="1" x14ac:dyDescent="0.35"/>
    <row r="518" ht="25" customHeight="1" x14ac:dyDescent="0.35"/>
    <row r="519" ht="25" customHeight="1" x14ac:dyDescent="0.35"/>
    <row r="520" ht="25" customHeight="1" x14ac:dyDescent="0.35"/>
    <row r="521" ht="25" customHeight="1" x14ac:dyDescent="0.35"/>
    <row r="522" ht="25" customHeight="1" x14ac:dyDescent="0.35"/>
    <row r="523" ht="25" customHeight="1" x14ac:dyDescent="0.35"/>
    <row r="524" ht="25" customHeight="1" x14ac:dyDescent="0.35"/>
    <row r="525" ht="25" customHeight="1" x14ac:dyDescent="0.35"/>
    <row r="526" ht="25" customHeight="1" x14ac:dyDescent="0.35"/>
    <row r="527" ht="25" customHeight="1" x14ac:dyDescent="0.35"/>
    <row r="528" ht="25" customHeight="1" x14ac:dyDescent="0.35"/>
    <row r="529" ht="25" customHeight="1" x14ac:dyDescent="0.35"/>
    <row r="530" ht="25" customHeight="1" x14ac:dyDescent="0.35"/>
    <row r="531" ht="25" customHeight="1" x14ac:dyDescent="0.35"/>
    <row r="532" ht="25" customHeight="1" x14ac:dyDescent="0.35"/>
    <row r="533" ht="25" customHeight="1" x14ac:dyDescent="0.35"/>
    <row r="534" ht="25" customHeight="1" x14ac:dyDescent="0.35"/>
    <row r="535" ht="25" customHeight="1" x14ac:dyDescent="0.35"/>
    <row r="536" ht="25" customHeight="1" x14ac:dyDescent="0.35"/>
    <row r="537" ht="25" customHeight="1" x14ac:dyDescent="0.35"/>
    <row r="538" ht="25" customHeight="1" x14ac:dyDescent="0.35"/>
    <row r="539" ht="25" customHeight="1" x14ac:dyDescent="0.35"/>
    <row r="540" ht="25" customHeight="1" x14ac:dyDescent="0.35"/>
    <row r="541" ht="25" customHeight="1" x14ac:dyDescent="0.35"/>
    <row r="542" ht="25" customHeight="1" x14ac:dyDescent="0.35"/>
    <row r="543" ht="25" customHeight="1" x14ac:dyDescent="0.35"/>
    <row r="544" ht="25" customHeight="1" x14ac:dyDescent="0.35"/>
    <row r="545" ht="25" customHeight="1" x14ac:dyDescent="0.35"/>
    <row r="546" ht="25" customHeight="1" x14ac:dyDescent="0.35"/>
    <row r="547" ht="25" customHeight="1" x14ac:dyDescent="0.35"/>
    <row r="548" ht="25" customHeight="1" x14ac:dyDescent="0.35"/>
    <row r="549" ht="25" customHeight="1" x14ac:dyDescent="0.35"/>
    <row r="550" ht="25" customHeight="1" x14ac:dyDescent="0.35"/>
    <row r="551" ht="25" customHeight="1" x14ac:dyDescent="0.35"/>
    <row r="552" ht="25" customHeight="1" x14ac:dyDescent="0.35"/>
    <row r="553" ht="25" customHeight="1" x14ac:dyDescent="0.35"/>
    <row r="554" ht="25" customHeight="1" x14ac:dyDescent="0.35"/>
    <row r="555" ht="25" customHeight="1" x14ac:dyDescent="0.35"/>
    <row r="556" ht="25" customHeight="1" x14ac:dyDescent="0.35"/>
    <row r="557" ht="25" customHeight="1" x14ac:dyDescent="0.35"/>
    <row r="558" ht="25" customHeight="1" x14ac:dyDescent="0.35"/>
    <row r="559" ht="25" customHeight="1" x14ac:dyDescent="0.35"/>
    <row r="560" ht="25" customHeight="1" x14ac:dyDescent="0.35"/>
    <row r="561" ht="25" customHeight="1" x14ac:dyDescent="0.35"/>
    <row r="562" ht="25" customHeight="1" x14ac:dyDescent="0.35"/>
    <row r="563" ht="25" customHeight="1" x14ac:dyDescent="0.35"/>
    <row r="564" ht="25" customHeight="1" x14ac:dyDescent="0.35"/>
    <row r="565" ht="25" customHeight="1" x14ac:dyDescent="0.35"/>
    <row r="566" ht="25" customHeight="1" x14ac:dyDescent="0.35"/>
    <row r="567" ht="25" customHeight="1" x14ac:dyDescent="0.35"/>
    <row r="568" ht="25" customHeight="1" x14ac:dyDescent="0.35"/>
    <row r="569" ht="25" customHeight="1" x14ac:dyDescent="0.35"/>
    <row r="570" ht="25" customHeight="1" x14ac:dyDescent="0.35"/>
    <row r="571" ht="25" customHeight="1" x14ac:dyDescent="0.35"/>
    <row r="572" ht="25" customHeight="1" x14ac:dyDescent="0.35"/>
    <row r="573" ht="25" customHeight="1" x14ac:dyDescent="0.35"/>
    <row r="574" ht="25" customHeight="1" x14ac:dyDescent="0.35"/>
    <row r="575" ht="25" customHeight="1" x14ac:dyDescent="0.35"/>
    <row r="576" ht="25" customHeight="1" x14ac:dyDescent="0.35"/>
    <row r="577" ht="25" customHeight="1" x14ac:dyDescent="0.35"/>
    <row r="578" ht="25" customHeight="1" x14ac:dyDescent="0.35"/>
    <row r="579" ht="25" customHeight="1" x14ac:dyDescent="0.35"/>
    <row r="580" ht="25" customHeight="1" x14ac:dyDescent="0.35"/>
    <row r="581" ht="25" customHeight="1" x14ac:dyDescent="0.35"/>
    <row r="582" ht="25" customHeight="1" x14ac:dyDescent="0.35"/>
    <row r="583" ht="25" customHeight="1" x14ac:dyDescent="0.35"/>
    <row r="584" ht="25" customHeight="1" x14ac:dyDescent="0.35"/>
    <row r="585" ht="25" customHeight="1" x14ac:dyDescent="0.35"/>
    <row r="586" ht="25" customHeight="1" x14ac:dyDescent="0.35"/>
    <row r="587" ht="25" customHeight="1" x14ac:dyDescent="0.35"/>
    <row r="588" ht="25" customHeight="1" x14ac:dyDescent="0.35"/>
    <row r="589" ht="25" customHeight="1" x14ac:dyDescent="0.35"/>
    <row r="590" ht="25" customHeight="1" x14ac:dyDescent="0.35"/>
    <row r="591" ht="25" customHeight="1" x14ac:dyDescent="0.35"/>
    <row r="592" ht="25" customHeight="1" x14ac:dyDescent="0.35"/>
    <row r="593" ht="25" customHeight="1" x14ac:dyDescent="0.35"/>
    <row r="594" ht="25" customHeight="1" x14ac:dyDescent="0.35"/>
    <row r="595" ht="25" customHeight="1" x14ac:dyDescent="0.35"/>
    <row r="596" ht="25" customHeight="1" x14ac:dyDescent="0.35"/>
    <row r="597" ht="25" customHeight="1" x14ac:dyDescent="0.35"/>
    <row r="598" ht="25" customHeight="1" x14ac:dyDescent="0.35"/>
    <row r="599" ht="25" customHeight="1" x14ac:dyDescent="0.35"/>
    <row r="600" ht="25" customHeight="1" x14ac:dyDescent="0.35"/>
    <row r="601" ht="25" customHeight="1" x14ac:dyDescent="0.35"/>
    <row r="602" ht="25" customHeight="1" x14ac:dyDescent="0.35"/>
    <row r="603" ht="25" customHeight="1" x14ac:dyDescent="0.35"/>
    <row r="604" ht="25" customHeight="1" x14ac:dyDescent="0.35"/>
    <row r="605" ht="25" customHeight="1" x14ac:dyDescent="0.35"/>
    <row r="606" ht="25" customHeight="1" x14ac:dyDescent="0.35"/>
    <row r="607" ht="25" customHeight="1" x14ac:dyDescent="0.35"/>
    <row r="608" ht="25" customHeight="1" x14ac:dyDescent="0.35"/>
    <row r="609" ht="25" customHeight="1" x14ac:dyDescent="0.35"/>
    <row r="610" ht="25" customHeight="1" x14ac:dyDescent="0.35"/>
    <row r="611" ht="25" customHeight="1" x14ac:dyDescent="0.35"/>
    <row r="612" ht="25" customHeight="1" x14ac:dyDescent="0.35"/>
    <row r="613" ht="25" customHeight="1" x14ac:dyDescent="0.35"/>
    <row r="614" ht="25" customHeight="1" x14ac:dyDescent="0.35"/>
    <row r="615" ht="25" customHeight="1" x14ac:dyDescent="0.35"/>
    <row r="616" ht="25" customHeight="1" x14ac:dyDescent="0.35"/>
    <row r="617" ht="25" customHeight="1" x14ac:dyDescent="0.35"/>
    <row r="618" ht="25" customHeight="1" x14ac:dyDescent="0.35"/>
    <row r="619" ht="25" customHeight="1" x14ac:dyDescent="0.35"/>
    <row r="620" ht="25" customHeight="1" x14ac:dyDescent="0.35"/>
    <row r="621" ht="25" customHeight="1" x14ac:dyDescent="0.35"/>
    <row r="622" ht="25" customHeight="1" x14ac:dyDescent="0.35"/>
    <row r="623" ht="25" customHeight="1" x14ac:dyDescent="0.35"/>
    <row r="624" ht="25" customHeight="1" x14ac:dyDescent="0.35"/>
    <row r="625" ht="25" customHeight="1" x14ac:dyDescent="0.35"/>
    <row r="626" ht="25" customHeight="1" x14ac:dyDescent="0.35"/>
    <row r="627" ht="25" customHeight="1" x14ac:dyDescent="0.35"/>
    <row r="628" ht="25" customHeight="1" x14ac:dyDescent="0.35"/>
    <row r="629" ht="25" customHeight="1" x14ac:dyDescent="0.35"/>
    <row r="630" ht="25" customHeight="1" x14ac:dyDescent="0.35"/>
    <row r="631" ht="25" customHeight="1" x14ac:dyDescent="0.35"/>
    <row r="632" ht="25" customHeight="1" x14ac:dyDescent="0.35"/>
    <row r="633" ht="25" customHeight="1" x14ac:dyDescent="0.35"/>
    <row r="634" ht="25" customHeight="1" x14ac:dyDescent="0.35"/>
    <row r="635" ht="25" customHeight="1" x14ac:dyDescent="0.35"/>
    <row r="636" ht="25" customHeight="1" x14ac:dyDescent="0.35"/>
    <row r="637" ht="25" customHeight="1" x14ac:dyDescent="0.35"/>
    <row r="638" ht="25" customHeight="1" x14ac:dyDescent="0.35"/>
    <row r="639" ht="25" customHeight="1" x14ac:dyDescent="0.35"/>
    <row r="640" ht="25" customHeight="1" x14ac:dyDescent="0.35"/>
    <row r="641" ht="25" customHeight="1" x14ac:dyDescent="0.35"/>
    <row r="642" ht="25" customHeight="1" x14ac:dyDescent="0.35"/>
    <row r="643" ht="25" customHeight="1" x14ac:dyDescent="0.35"/>
    <row r="644" ht="25" customHeight="1" x14ac:dyDescent="0.35"/>
    <row r="645" ht="25" customHeight="1" x14ac:dyDescent="0.35"/>
    <row r="646" ht="25" customHeight="1" x14ac:dyDescent="0.35"/>
    <row r="647" ht="25" customHeight="1" x14ac:dyDescent="0.35"/>
    <row r="648" ht="25" customHeight="1" x14ac:dyDescent="0.35"/>
    <row r="649" ht="25" customHeight="1" x14ac:dyDescent="0.35"/>
    <row r="650" ht="25" customHeight="1" x14ac:dyDescent="0.35"/>
    <row r="651" ht="25" customHeight="1" x14ac:dyDescent="0.35"/>
    <row r="652" ht="25" customHeight="1" x14ac:dyDescent="0.35"/>
    <row r="653" ht="25" customHeight="1" x14ac:dyDescent="0.35"/>
    <row r="654" ht="25" customHeight="1" x14ac:dyDescent="0.35"/>
    <row r="655" ht="25" customHeight="1" x14ac:dyDescent="0.35"/>
    <row r="656" ht="25" customHeight="1" x14ac:dyDescent="0.35"/>
    <row r="657" ht="25" customHeight="1" x14ac:dyDescent="0.35"/>
    <row r="658" ht="25" customHeight="1" x14ac:dyDescent="0.35"/>
    <row r="659" ht="25" customHeight="1" x14ac:dyDescent="0.35"/>
    <row r="660" ht="25" customHeight="1" x14ac:dyDescent="0.35"/>
    <row r="661" ht="25" customHeight="1" x14ac:dyDescent="0.35"/>
    <row r="662" ht="25" customHeight="1" x14ac:dyDescent="0.35"/>
    <row r="663" ht="25" customHeight="1" x14ac:dyDescent="0.35"/>
    <row r="664" ht="25" customHeight="1" x14ac:dyDescent="0.35"/>
    <row r="665" ht="25" customHeight="1" x14ac:dyDescent="0.35"/>
    <row r="666" ht="25" customHeight="1" x14ac:dyDescent="0.35"/>
    <row r="667" ht="25" customHeight="1" x14ac:dyDescent="0.35"/>
    <row r="668" ht="25" customHeight="1" x14ac:dyDescent="0.35"/>
    <row r="669" ht="25" customHeight="1" x14ac:dyDescent="0.35"/>
    <row r="670" ht="25" customHeight="1" x14ac:dyDescent="0.35"/>
    <row r="671" ht="25" customHeight="1" x14ac:dyDescent="0.35"/>
    <row r="672" ht="25" customHeight="1" x14ac:dyDescent="0.35"/>
    <row r="673" ht="25" customHeight="1" x14ac:dyDescent="0.35"/>
    <row r="674" ht="25" customHeight="1" x14ac:dyDescent="0.35"/>
    <row r="675" ht="25" customHeight="1" x14ac:dyDescent="0.35"/>
    <row r="676" ht="25" customHeight="1" x14ac:dyDescent="0.35"/>
    <row r="677" ht="25" customHeight="1" x14ac:dyDescent="0.35"/>
    <row r="678" ht="25" customHeight="1" x14ac:dyDescent="0.35"/>
    <row r="679" ht="25" customHeight="1" x14ac:dyDescent="0.35"/>
    <row r="680" ht="25" customHeight="1" x14ac:dyDescent="0.35"/>
    <row r="681" ht="25" customHeight="1" x14ac:dyDescent="0.35"/>
    <row r="682" ht="25" customHeight="1" x14ac:dyDescent="0.35"/>
    <row r="683" ht="25" customHeight="1" x14ac:dyDescent="0.35"/>
    <row r="684" ht="25" customHeight="1" x14ac:dyDescent="0.35"/>
    <row r="685" ht="25" customHeight="1" x14ac:dyDescent="0.35"/>
    <row r="686" ht="25" customHeight="1" x14ac:dyDescent="0.35"/>
    <row r="687" ht="25" customHeight="1" x14ac:dyDescent="0.35"/>
    <row r="688" ht="25" customHeight="1" x14ac:dyDescent="0.35"/>
    <row r="689" ht="25" customHeight="1" x14ac:dyDescent="0.35"/>
    <row r="690" ht="25" customHeight="1" x14ac:dyDescent="0.35"/>
    <row r="691" ht="25" customHeight="1" x14ac:dyDescent="0.35"/>
    <row r="692" ht="25" customHeight="1" x14ac:dyDescent="0.35"/>
    <row r="693" ht="25" customHeight="1" x14ac:dyDescent="0.35"/>
    <row r="694" ht="25" customHeight="1" x14ac:dyDescent="0.35"/>
    <row r="695" ht="25" customHeight="1" x14ac:dyDescent="0.35"/>
    <row r="696" ht="25" customHeight="1" x14ac:dyDescent="0.35"/>
    <row r="697" ht="25" customHeight="1" x14ac:dyDescent="0.35"/>
    <row r="698" ht="25" customHeight="1" x14ac:dyDescent="0.35"/>
    <row r="699" ht="25" customHeight="1" x14ac:dyDescent="0.35"/>
    <row r="700" ht="25" customHeight="1" x14ac:dyDescent="0.35"/>
    <row r="701" ht="25" customHeight="1" x14ac:dyDescent="0.35"/>
    <row r="702" ht="25" customHeight="1" x14ac:dyDescent="0.35"/>
    <row r="703" ht="25" customHeight="1" x14ac:dyDescent="0.35"/>
    <row r="704" ht="25" customHeight="1" x14ac:dyDescent="0.35"/>
    <row r="705" ht="25" customHeight="1" x14ac:dyDescent="0.35"/>
    <row r="706" ht="25" customHeight="1" x14ac:dyDescent="0.35"/>
    <row r="707" ht="25" customHeight="1" x14ac:dyDescent="0.35"/>
    <row r="708" ht="25" customHeight="1" x14ac:dyDescent="0.35"/>
    <row r="709" ht="25" customHeight="1" x14ac:dyDescent="0.35"/>
    <row r="710" ht="25" customHeight="1" x14ac:dyDescent="0.35"/>
    <row r="711" ht="25" customHeight="1" x14ac:dyDescent="0.35"/>
    <row r="712" ht="25" customHeight="1" x14ac:dyDescent="0.35"/>
    <row r="713" ht="25" customHeight="1" x14ac:dyDescent="0.35"/>
    <row r="714" ht="25" customHeight="1" x14ac:dyDescent="0.35"/>
    <row r="715" ht="25" customHeight="1" x14ac:dyDescent="0.35"/>
    <row r="716" ht="25" customHeight="1" x14ac:dyDescent="0.35"/>
    <row r="717" ht="25" customHeight="1" x14ac:dyDescent="0.35"/>
    <row r="718" ht="25" customHeight="1" x14ac:dyDescent="0.35"/>
    <row r="719" ht="25" customHeight="1" x14ac:dyDescent="0.35"/>
    <row r="720" ht="25" customHeight="1" x14ac:dyDescent="0.35"/>
    <row r="721" ht="25" customHeight="1" x14ac:dyDescent="0.35"/>
    <row r="722" ht="25" customHeight="1" x14ac:dyDescent="0.35"/>
    <row r="723" ht="25" customHeight="1" x14ac:dyDescent="0.35"/>
    <row r="724" ht="25" customHeight="1" x14ac:dyDescent="0.35"/>
    <row r="725" ht="25" customHeight="1" x14ac:dyDescent="0.35"/>
    <row r="726" ht="25" customHeight="1" x14ac:dyDescent="0.35"/>
    <row r="727" ht="25" customHeight="1" x14ac:dyDescent="0.35"/>
    <row r="728" ht="25" customHeight="1" x14ac:dyDescent="0.35"/>
    <row r="729" ht="25" customHeight="1" x14ac:dyDescent="0.35"/>
    <row r="730" ht="25" customHeight="1" x14ac:dyDescent="0.35"/>
    <row r="731" ht="25" customHeight="1" x14ac:dyDescent="0.35"/>
    <row r="732" ht="25" customHeight="1" x14ac:dyDescent="0.35"/>
    <row r="733" ht="25" customHeight="1" x14ac:dyDescent="0.35"/>
    <row r="734" ht="25" customHeight="1" x14ac:dyDescent="0.35"/>
    <row r="735" ht="25" customHeight="1" x14ac:dyDescent="0.35"/>
    <row r="736" ht="25" customHeight="1" x14ac:dyDescent="0.35"/>
    <row r="737" ht="25" customHeight="1" x14ac:dyDescent="0.35"/>
    <row r="738" ht="25" customHeight="1" x14ac:dyDescent="0.35"/>
    <row r="739" ht="25" customHeight="1" x14ac:dyDescent="0.35"/>
    <row r="740" ht="25" customHeight="1" x14ac:dyDescent="0.35"/>
    <row r="741" ht="25" customHeight="1" x14ac:dyDescent="0.35"/>
    <row r="742" ht="25" customHeight="1" x14ac:dyDescent="0.35"/>
    <row r="743" ht="25" customHeight="1" x14ac:dyDescent="0.35"/>
    <row r="744" ht="25" customHeight="1" x14ac:dyDescent="0.35"/>
    <row r="745" ht="25" customHeight="1" x14ac:dyDescent="0.35"/>
    <row r="746" ht="25" customHeight="1" x14ac:dyDescent="0.35"/>
    <row r="747" ht="25" customHeight="1" x14ac:dyDescent="0.35"/>
    <row r="748" ht="25" customHeight="1" x14ac:dyDescent="0.35"/>
    <row r="749" ht="25" customHeight="1" x14ac:dyDescent="0.35"/>
    <row r="750" ht="25" customHeight="1" x14ac:dyDescent="0.35"/>
    <row r="751" ht="25" customHeight="1" x14ac:dyDescent="0.35"/>
    <row r="752" ht="25" customHeight="1" x14ac:dyDescent="0.35"/>
    <row r="753" ht="25" customHeight="1" x14ac:dyDescent="0.35"/>
    <row r="754" ht="25" customHeight="1" x14ac:dyDescent="0.35"/>
    <row r="755" ht="25" customHeight="1" x14ac:dyDescent="0.35"/>
    <row r="756" ht="25" customHeight="1" x14ac:dyDescent="0.35"/>
    <row r="757" ht="25" customHeight="1" x14ac:dyDescent="0.35"/>
    <row r="758" ht="25" customHeight="1" x14ac:dyDescent="0.35"/>
    <row r="759" ht="25" customHeight="1" x14ac:dyDescent="0.35"/>
    <row r="760" ht="25" customHeight="1" x14ac:dyDescent="0.35"/>
    <row r="761" ht="25" customHeight="1" x14ac:dyDescent="0.35"/>
    <row r="762" ht="25" customHeight="1" x14ac:dyDescent="0.35"/>
    <row r="763" ht="25" customHeight="1" x14ac:dyDescent="0.35"/>
    <row r="764" ht="25" customHeight="1" x14ac:dyDescent="0.35"/>
    <row r="765" ht="25" customHeight="1" x14ac:dyDescent="0.35"/>
    <row r="766" ht="25" customHeight="1" x14ac:dyDescent="0.35"/>
    <row r="767" ht="25" customHeight="1" x14ac:dyDescent="0.35"/>
    <row r="768" ht="25" customHeight="1" x14ac:dyDescent="0.35"/>
    <row r="769" ht="25" customHeight="1" x14ac:dyDescent="0.35"/>
    <row r="770" ht="25" customHeight="1" x14ac:dyDescent="0.35"/>
    <row r="771" ht="25" customHeight="1" x14ac:dyDescent="0.35"/>
    <row r="772" ht="25" customHeight="1" x14ac:dyDescent="0.35"/>
    <row r="773" ht="25" customHeight="1" x14ac:dyDescent="0.35"/>
    <row r="774" ht="25" customHeight="1" x14ac:dyDescent="0.35"/>
    <row r="775" ht="25" customHeight="1" x14ac:dyDescent="0.35"/>
    <row r="776" ht="25" customHeight="1" x14ac:dyDescent="0.35"/>
    <row r="777" ht="25" customHeight="1" x14ac:dyDescent="0.35"/>
    <row r="778" ht="25" customHeight="1" x14ac:dyDescent="0.35"/>
    <row r="779" ht="25" customHeight="1" x14ac:dyDescent="0.35"/>
    <row r="780" ht="25" customHeight="1" x14ac:dyDescent="0.35"/>
    <row r="781" ht="25" customHeight="1" x14ac:dyDescent="0.35"/>
    <row r="782" ht="25" customHeight="1" x14ac:dyDescent="0.35"/>
    <row r="783" ht="25" customHeight="1" x14ac:dyDescent="0.35"/>
  </sheetData>
  <sheetProtection algorithmName="SHA-512" hashValue="8HLx41h8hX1vd8GE/d91yIyu47keKP58SPY12u7sxVwEGRng0MdOmMSy/NXXEV5pYNTYedmkh38Zto+Lz++Xkg==" saltValue="MgHwNLZaDgQFHXDbBZKiHg==" spinCount="100000" sheet="1" objects="1" scenarios="1" selectLockedCells="1"/>
  <mergeCells count="6">
    <mergeCell ref="B1:H1"/>
    <mergeCell ref="B5:D5"/>
    <mergeCell ref="E2:G5"/>
    <mergeCell ref="B2:D2"/>
    <mergeCell ref="B3:D3"/>
    <mergeCell ref="B4:D4"/>
  </mergeCells>
  <conditionalFormatting sqref="F7:F79">
    <cfRule type="containsText" dxfId="3" priority="1" operator="containsText" text="ERROR">
      <formula>NOT(ISERROR(SEARCH("ERROR",F7)))</formula>
    </cfRule>
  </conditionalFormatting>
  <conditionalFormatting sqref="G7:G79">
    <cfRule type="containsText" dxfId="2" priority="5" operator="containsText" text="worked">
      <formula>NOT(ISERROR(SEARCH("worked",G7)))</formula>
    </cfRule>
  </conditionalFormatting>
  <conditionalFormatting sqref="H7:H79">
    <cfRule type="cellIs" dxfId="1" priority="3" operator="greaterThan">
      <formula>2</formula>
    </cfRule>
    <cfRule type="cellIs" dxfId="0" priority="4" operator="lessThan">
      <formula>0</formula>
    </cfRule>
  </conditionalFormatting>
  <dataValidations count="3">
    <dataValidation type="time" operator="lessThan" allowBlank="1" showInputMessage="1" showErrorMessage="1" sqref="D7:E79" xr:uid="{9AE7729D-A22D-4AF1-900D-0B4C09C987CA}">
      <formula1>0.999988425925926</formula1>
    </dataValidation>
    <dataValidation type="whole" operator="lessThan" allowBlank="1" showInputMessage="1" showErrorMessage="1" sqref="B3:D3" xr:uid="{6888241B-6342-4CEB-B18F-207AADFCF947}">
      <formula1>999999999</formula1>
    </dataValidation>
    <dataValidation type="decimal" errorStyle="warning" allowBlank="1" showInputMessage="1" showErrorMessage="1" errorTitle="BadInterval" error="The Duration of the Micro-Activity in INVALID_x000a_" sqref="H7" xr:uid="{59C18CD6-1857-4705-A184-4C635F14C4D8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D9F329F8-89BB-469F-8462-10C55BCEAD2A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7986-64CE-4B20-A098-327AA73637C1}">
  <dimension ref="A1:F53"/>
  <sheetViews>
    <sheetView workbookViewId="0">
      <selection activeCell="B8" sqref="B8"/>
    </sheetView>
  </sheetViews>
  <sheetFormatPr defaultRowHeight="14.5" x14ac:dyDescent="0.35"/>
  <cols>
    <col min="1" max="1" width="14.81640625" customWidth="1"/>
    <col min="2" max="2" width="104.1796875" customWidth="1"/>
  </cols>
  <sheetData>
    <row r="1" spans="1:6" s="36" customFormat="1" ht="25" customHeight="1" x14ac:dyDescent="0.35">
      <c r="A1" s="38" t="s">
        <v>14</v>
      </c>
      <c r="B1" s="38" t="str">
        <f ca="1">CELL("filename",A1)</f>
        <v>C:\Users\Mete Balci\Downloads\[ProjectLog-G08-8293-350-1267.xlsx]Document</v>
      </c>
      <c r="C1" s="38"/>
      <c r="D1" s="38"/>
      <c r="E1" s="38"/>
      <c r="F1" s="38"/>
    </row>
    <row r="2" spans="1:6" s="36" customFormat="1" ht="25" customHeight="1" x14ac:dyDescent="0.35">
      <c r="A2" s="38" t="s">
        <v>15</v>
      </c>
      <c r="B2" s="38" t="str">
        <f ca="1">IF(AND(MID(CELL("filename",B1),FIND("G",CELL("filename",B1))+3,1)="-",MID(CELL("filename",B1),FIND("G",CELL("filename",B1))+8,1)="-",MID(CELL("filename",B1),FIND("G",CELL("filename",B1))+12,1)="-"),MID(CELL("filename",B1),FIND("G",CELL("filename",B1))+13,4),"NOT FOUND")</f>
        <v>1267</v>
      </c>
      <c r="C2" s="38"/>
      <c r="D2" s="38"/>
      <c r="E2" s="38"/>
      <c r="F2" s="38"/>
    </row>
    <row r="3" spans="1:6" s="36" customFormat="1" ht="25" customHeight="1" x14ac:dyDescent="0.35">
      <c r="A3" s="38" t="s">
        <v>16</v>
      </c>
      <c r="B3" s="38" t="str">
        <f ca="1">"20"&amp;MID(B2,2,2)</f>
        <v>2026</v>
      </c>
      <c r="C3" s="38"/>
      <c r="D3" s="38"/>
      <c r="E3" s="38"/>
      <c r="F3" s="38"/>
    </row>
    <row r="4" spans="1:6" s="36" customFormat="1" ht="25" customHeight="1" x14ac:dyDescent="0.35">
      <c r="A4" s="38" t="s">
        <v>17</v>
      </c>
      <c r="B4" s="39">
        <f ca="1">DATE(B3,CHOOSE(IFERROR(MATCH(RIGHT(B2,1)*1,{1,4,7},0),1),1,5,9),1)</f>
        <v>46266</v>
      </c>
      <c r="C4" s="38"/>
      <c r="D4" s="38"/>
      <c r="E4" s="38"/>
      <c r="F4" s="38"/>
    </row>
    <row r="5" spans="1:6" s="36" customFormat="1" ht="25" customHeight="1" x14ac:dyDescent="0.35">
      <c r="A5" s="38" t="s">
        <v>18</v>
      </c>
      <c r="B5" s="39">
        <f ca="1">EOMONTH(DATE(B3,CHOOSE(IFERROR(MATCH(RIGHT(B2,1)*1,{1,4,7},0),3),4,8,12),1),0)</f>
        <v>46387</v>
      </c>
      <c r="C5" s="38"/>
      <c r="D5" s="38"/>
      <c r="E5" s="38"/>
      <c r="F5" s="38"/>
    </row>
    <row r="6" spans="1:6" s="36" customFormat="1" ht="25" customHeight="1" x14ac:dyDescent="0.35">
      <c r="A6" s="38" t="s">
        <v>19</v>
      </c>
      <c r="B6" s="38" t="str">
        <f ca="1">IF(AND(MID(CELL("filename",B1),FIND("G",CELL("filename",B1))+3,1)="-",MID(CELL("filename",B1),FIND("G",CELL("filename",B1))+8,1)="-",MID(CELL("filename",B1),FIND("G",CELL("filename",B1))+12,1)="-"),MID(CELL("filename",B1),FIND("G",CELL("filename",B1))+9,3),"NOT FOUND")</f>
        <v>350</v>
      </c>
      <c r="C6" s="38"/>
      <c r="D6" s="38"/>
      <c r="E6" s="38"/>
      <c r="F6" s="38"/>
    </row>
    <row r="7" spans="1:6" s="36" customFormat="1" ht="25" customHeight="1" x14ac:dyDescent="0.35">
      <c r="A7" s="38"/>
      <c r="B7" s="38"/>
      <c r="C7" s="38"/>
      <c r="D7" s="38"/>
      <c r="E7" s="38"/>
      <c r="F7" s="38"/>
    </row>
    <row r="8" spans="1:6" s="36" customFormat="1" ht="25" customHeight="1" x14ac:dyDescent="0.35">
      <c r="A8" s="38"/>
      <c r="B8" s="38"/>
      <c r="C8" s="38"/>
      <c r="D8" s="38"/>
      <c r="E8" s="38"/>
      <c r="F8" s="38"/>
    </row>
    <row r="9" spans="1:6" s="36" customFormat="1" ht="25" customHeight="1" x14ac:dyDescent="0.35">
      <c r="A9" s="38"/>
      <c r="B9" s="38"/>
      <c r="C9" s="38"/>
      <c r="D9" s="38"/>
      <c r="E9" s="38"/>
      <c r="F9" s="38"/>
    </row>
    <row r="10" spans="1:6" s="36" customFormat="1" ht="25" customHeight="1" x14ac:dyDescent="0.35">
      <c r="A10" s="38"/>
      <c r="B10" s="38"/>
      <c r="C10" s="38"/>
      <c r="D10" s="38"/>
      <c r="E10" s="38"/>
      <c r="F10" s="38"/>
    </row>
    <row r="11" spans="1:6" s="36" customFormat="1" ht="25" customHeight="1" x14ac:dyDescent="0.35">
      <c r="A11" s="38"/>
      <c r="B11" s="38"/>
      <c r="C11" s="38"/>
      <c r="D11" s="38"/>
      <c r="E11" s="38"/>
      <c r="F11" s="38"/>
    </row>
    <row r="12" spans="1:6" s="36" customFormat="1" ht="25" customHeight="1" x14ac:dyDescent="0.35">
      <c r="A12" s="38"/>
      <c r="B12" s="38"/>
      <c r="C12" s="38"/>
      <c r="D12" s="38"/>
      <c r="E12" s="38"/>
      <c r="F12" s="38"/>
    </row>
    <row r="13" spans="1:6" s="36" customFormat="1" ht="25" customHeight="1" x14ac:dyDescent="0.35">
      <c r="A13" s="38"/>
      <c r="B13" s="38"/>
      <c r="C13" s="38"/>
      <c r="D13" s="38"/>
      <c r="E13" s="38"/>
      <c r="F13" s="38"/>
    </row>
    <row r="14" spans="1:6" s="36" customFormat="1" ht="25" customHeight="1" x14ac:dyDescent="0.35">
      <c r="A14" s="38"/>
      <c r="B14" s="38"/>
      <c r="C14" s="38"/>
      <c r="D14" s="38"/>
      <c r="E14" s="38"/>
      <c r="F14" s="38"/>
    </row>
    <row r="15" spans="1:6" s="36" customFormat="1" ht="25" customHeight="1" x14ac:dyDescent="0.35">
      <c r="A15" s="38"/>
      <c r="B15" s="38"/>
      <c r="C15" s="38"/>
      <c r="D15" s="38"/>
      <c r="E15" s="38"/>
      <c r="F15" s="38"/>
    </row>
    <row r="16" spans="1:6" s="36" customFormat="1" ht="25" customHeight="1" x14ac:dyDescent="0.35">
      <c r="A16" s="38"/>
      <c r="B16" s="38"/>
      <c r="C16" s="38"/>
      <c r="D16" s="38"/>
      <c r="E16" s="38"/>
      <c r="F16" s="38"/>
    </row>
    <row r="17" spans="1:6" s="36" customFormat="1" ht="25" customHeight="1" x14ac:dyDescent="0.35">
      <c r="A17" s="38"/>
      <c r="B17" s="38"/>
      <c r="C17" s="38"/>
      <c r="D17" s="38"/>
      <c r="E17" s="38"/>
      <c r="F17" s="38"/>
    </row>
    <row r="18" spans="1:6" s="36" customFormat="1" ht="25" customHeight="1" x14ac:dyDescent="0.35">
      <c r="A18" s="38"/>
      <c r="B18" s="38"/>
      <c r="C18" s="38"/>
      <c r="D18" s="38"/>
      <c r="E18" s="38"/>
      <c r="F18" s="38"/>
    </row>
    <row r="19" spans="1:6" s="36" customFormat="1" ht="25" customHeight="1" x14ac:dyDescent="0.35">
      <c r="A19" s="38"/>
      <c r="B19" s="38"/>
      <c r="C19" s="38"/>
      <c r="D19" s="38"/>
      <c r="E19" s="38"/>
      <c r="F19" s="38"/>
    </row>
    <row r="20" spans="1:6" s="36" customFormat="1" ht="25" customHeight="1" x14ac:dyDescent="0.35">
      <c r="A20" s="38"/>
      <c r="B20" s="38"/>
      <c r="C20" s="38"/>
      <c r="D20" s="38"/>
      <c r="E20" s="38"/>
      <c r="F20" s="38"/>
    </row>
    <row r="21" spans="1:6" s="36" customFormat="1" ht="25" customHeight="1" x14ac:dyDescent="0.35">
      <c r="A21" s="38"/>
      <c r="B21" s="38"/>
      <c r="C21" s="38"/>
      <c r="D21" s="38"/>
      <c r="E21" s="38"/>
      <c r="F21" s="38"/>
    </row>
    <row r="22" spans="1:6" s="36" customFormat="1" ht="25" customHeight="1" x14ac:dyDescent="0.35">
      <c r="A22" s="38"/>
      <c r="B22" s="38"/>
      <c r="C22" s="38"/>
      <c r="D22" s="38"/>
      <c r="E22" s="38"/>
      <c r="F22" s="38"/>
    </row>
    <row r="23" spans="1:6" s="36" customFormat="1" ht="25" customHeight="1" x14ac:dyDescent="0.35">
      <c r="A23" s="38"/>
      <c r="B23" s="38"/>
      <c r="C23" s="38"/>
      <c r="D23" s="38"/>
      <c r="E23" s="38"/>
      <c r="F23" s="38"/>
    </row>
    <row r="24" spans="1:6" s="36" customFormat="1" ht="25" customHeight="1" x14ac:dyDescent="0.35">
      <c r="A24" s="38"/>
      <c r="B24" s="38"/>
      <c r="C24" s="38"/>
      <c r="D24" s="38"/>
      <c r="E24" s="38"/>
      <c r="F24" s="38"/>
    </row>
    <row r="25" spans="1:6" s="36" customFormat="1" ht="25" customHeight="1" x14ac:dyDescent="0.35">
      <c r="A25" s="38"/>
      <c r="B25" s="38"/>
      <c r="C25" s="38"/>
      <c r="D25" s="38"/>
      <c r="E25" s="38"/>
      <c r="F25" s="38"/>
    </row>
    <row r="26" spans="1:6" s="36" customFormat="1" ht="25" customHeight="1" x14ac:dyDescent="0.35">
      <c r="A26" s="38"/>
      <c r="B26" s="38"/>
      <c r="C26" s="38"/>
      <c r="D26" s="38"/>
      <c r="E26" s="38"/>
      <c r="F26" s="38"/>
    </row>
    <row r="27" spans="1:6" s="36" customFormat="1" ht="25" customHeight="1" x14ac:dyDescent="0.35">
      <c r="A27" s="38"/>
      <c r="B27" s="38"/>
      <c r="C27" s="38"/>
      <c r="D27" s="38"/>
      <c r="E27" s="38"/>
      <c r="F27" s="38"/>
    </row>
    <row r="28" spans="1:6" s="36" customFormat="1" ht="25" customHeight="1" x14ac:dyDescent="0.35">
      <c r="A28" s="38"/>
      <c r="B28" s="38"/>
      <c r="C28" s="38"/>
      <c r="D28" s="38"/>
      <c r="E28" s="38"/>
      <c r="F28" s="38"/>
    </row>
    <row r="29" spans="1:6" s="36" customFormat="1" ht="25" customHeight="1" x14ac:dyDescent="0.35">
      <c r="A29" s="38"/>
      <c r="B29" s="38"/>
      <c r="C29" s="38"/>
      <c r="D29" s="38"/>
      <c r="E29" s="38"/>
      <c r="F29" s="38"/>
    </row>
    <row r="30" spans="1:6" s="36" customFormat="1" ht="25" customHeight="1" x14ac:dyDescent="0.35">
      <c r="A30" s="38"/>
      <c r="B30" s="38"/>
      <c r="C30" s="38"/>
      <c r="D30" s="38"/>
      <c r="E30" s="38"/>
      <c r="F30" s="38"/>
    </row>
    <row r="31" spans="1:6" s="36" customFormat="1" ht="25" customHeight="1" x14ac:dyDescent="0.35"/>
    <row r="32" spans="1:6" s="36" customFormat="1" ht="25" customHeight="1" x14ac:dyDescent="0.35"/>
    <row r="33" ht="25" customHeight="1" x14ac:dyDescent="0.35"/>
    <row r="34" ht="25" customHeight="1" x14ac:dyDescent="0.35"/>
    <row r="35" ht="25" customHeight="1" x14ac:dyDescent="0.35"/>
    <row r="36" ht="25" customHeight="1" x14ac:dyDescent="0.35"/>
    <row r="37" ht="25" customHeight="1" x14ac:dyDescent="0.35"/>
    <row r="38" ht="25" customHeight="1" x14ac:dyDescent="0.35"/>
    <row r="39" ht="25" customHeight="1" x14ac:dyDescent="0.35"/>
    <row r="40" ht="25" customHeight="1" x14ac:dyDescent="0.35"/>
    <row r="41" ht="25" customHeight="1" x14ac:dyDescent="0.35"/>
    <row r="42" ht="25" customHeight="1" x14ac:dyDescent="0.35"/>
    <row r="43" ht="25" customHeight="1" x14ac:dyDescent="0.35"/>
    <row r="44" ht="25" customHeight="1" x14ac:dyDescent="0.35"/>
    <row r="45" ht="25" customHeight="1" x14ac:dyDescent="0.35"/>
    <row r="46" ht="25" customHeight="1" x14ac:dyDescent="0.35"/>
    <row r="47" ht="25" customHeight="1" x14ac:dyDescent="0.35"/>
    <row r="48" ht="25" customHeight="1" x14ac:dyDescent="0.35"/>
    <row r="49" ht="25" customHeight="1" x14ac:dyDescent="0.35"/>
    <row r="50" ht="25" customHeight="1" x14ac:dyDescent="0.35"/>
    <row r="51" ht="25" customHeight="1" x14ac:dyDescent="0.35"/>
    <row r="52" ht="25" customHeight="1" x14ac:dyDescent="0.35"/>
    <row r="53" ht="2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DP1.0</vt:lpstr>
      <vt:lpstr>DP1.1</vt:lpstr>
      <vt:lpstr>DP1.2</vt:lpstr>
      <vt:lpstr>DP2.0</vt:lpstr>
      <vt:lpstr>DP2.1</vt:lpstr>
      <vt:lpstr>FP</vt:lpstr>
      <vt:lpstr>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Mete Balcı</cp:lastModifiedBy>
  <dcterms:created xsi:type="dcterms:W3CDTF">2020-03-26T16:58:46Z</dcterms:created>
  <dcterms:modified xsi:type="dcterms:W3CDTF">2026-10-26T06:41:24Z</dcterms:modified>
</cp:coreProperties>
</file>